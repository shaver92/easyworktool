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/>
  </bookViews>
  <sheets>
    <sheet name="详情" sheetId="1" r:id="rId1"/>
    <sheet name="业务报告" sheetId="2" r:id="rId2"/>
    <sheet name="WT报告" sheetId="3" r:id="rId3"/>
    <sheet name="SP" sheetId="4" r:id="rId4"/>
    <sheet name="SD" sheetId="5" r:id="rId5"/>
    <sheet name="SB" sheetId="6" r:id="rId6"/>
    <sheet name="Base" sheetId="7" r:id="rId7"/>
    <sheet name="Sheet7" sheetId="8" r:id="rId8"/>
  </sheets>
  <externalReferences>
    <externalReference r:id="rId10"/>
    <externalReference r:id="rId11"/>
  </externalReferences>
  <definedNames>
    <definedName name="_xlnm._FilterDatabase" localSheetId="0" hidden="1">详情!$A$13:$E$99</definedName>
    <definedName name="ExternalData_1" localSheetId="0">详情!$C$14:$C$99</definedName>
    <definedName name="ExternalData_1" localSheetId="1">业务报告!#REF!</definedName>
    <definedName name="ExternalData_2" localSheetId="1">业务报告!$A$1:$B$50</definedName>
    <definedName name="ExternalData_1" localSheetId="2">WT报告!$A$1:$B$26</definedName>
    <definedName name="ExternalData_1" localSheetId="3">SP!$A$1:$B$23</definedName>
    <definedName name="ExternalData_1" localSheetId="4">SD!$A$1:$C$33</definedName>
    <definedName name="ExternalData_1" localSheetId="5">SB!#REF!</definedName>
    <definedName name="ExternalData_2" localSheetId="5">SB!$A$1:$C$56</definedName>
    <definedName name="ExternalData_1" localSheetId="6">Base!$A$1:$B$7</definedName>
    <definedName name="attributeMapFeedProductType">[1]AttributePTDMAP!$B$1</definedName>
    <definedName name="optionalAttributePTDMap">[1]AttributePTDMAP!$A$13:$B$236</definedName>
    <definedName name="preferredAttributePTDMap">[1]AttributePTDMAP!$A$237:$B$237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综合成本 含头程</t>
        </r>
      </text>
    </comment>
    <comment ref="AD1" authorId="0">
      <text>
        <r>
          <rPr>
            <sz val="9"/>
            <rFont val="宋体"/>
            <charset val="134"/>
          </rPr>
          <t>FBA派送费</t>
        </r>
      </text>
    </comment>
    <comment ref="AB2" authorId="0">
      <text>
        <r>
          <rPr>
            <sz val="9"/>
            <rFont val="宋体"/>
            <charset val="134"/>
          </rPr>
          <t>退货率</t>
        </r>
      </text>
    </comment>
    <comment ref="AD2" authorId="0">
      <text>
        <r>
          <rPr>
            <sz val="9"/>
            <rFont val="宋体"/>
            <charset val="134"/>
          </rPr>
          <t>销售佣金率</t>
        </r>
      </text>
    </comment>
    <comment ref="AE2" authorId="0">
      <text>
        <r>
          <rPr>
            <sz val="9"/>
            <rFont val="宋体"/>
            <charset val="134"/>
          </rPr>
          <t>SC 推广期间P0利润核算</t>
        </r>
      </text>
    </comment>
    <comment ref="AF2" authorId="0">
      <text>
        <r>
          <rPr>
            <sz val="9"/>
            <rFont val="宋体"/>
            <charset val="134"/>
          </rPr>
          <t xml:space="preserve">WOOT 推广期间P0利润核算
</t>
        </r>
      </text>
    </comment>
    <comment ref="AG2" authorId="0">
      <text>
        <r>
          <rPr>
            <sz val="9"/>
            <rFont val="宋体"/>
            <charset val="134"/>
          </rPr>
          <t xml:space="preserve">VC变体 推广期间P0利润核算
</t>
        </r>
      </text>
    </comment>
    <comment ref="AH2" authorId="0">
      <text>
        <r>
          <rPr>
            <sz val="9"/>
            <rFont val="宋体"/>
            <charset val="134"/>
          </rPr>
          <t xml:space="preserve">SC变体 推广期间P0利润核算
</t>
        </r>
      </text>
    </comment>
    <comment ref="AI2" authorId="0">
      <text>
        <r>
          <rPr>
            <b/>
            <sz val="9"/>
            <rFont val="宋体"/>
            <charset val="134"/>
          </rPr>
          <t>主售BD价格</t>
        </r>
      </text>
    </comment>
    <comment ref="AA4" authorId="0">
      <text>
        <r>
          <rPr>
            <sz val="9"/>
            <rFont val="宋体"/>
            <charset val="134"/>
          </rPr>
          <t xml:space="preserve">广告单+自然单，不含测评单
</t>
        </r>
      </text>
    </comment>
    <comment ref="AD4" authorId="0">
      <text>
        <r>
          <rPr>
            <sz val="9"/>
            <rFont val="宋体"/>
            <charset val="134"/>
          </rPr>
          <t xml:space="preserve">广告单+自然单，不含测评单
</t>
        </r>
      </text>
    </comment>
  </commentList>
</comments>
</file>

<file path=xl/connections.xml><?xml version="1.0" encoding="utf-8"?>
<connections xmlns="http://schemas.openxmlformats.org/spreadsheetml/2006/main">
  <connection id="1" name="业务报告" type="6" background="1" refreshedVersion="2" saveData="1">
    <textPr sourceFile="/Users/shaver/Desktop/data/业务报告.txt" tab="0" space="1" consecutive="1">
      <textFields>
        <textField/>
      </textFields>
    </textPr>
  </connection>
  <connection id="2" name="业务报告1" type="6" background="1" refreshedVersion="2" saveData="1">
    <textPr sourceFile="/Users/shaver/Desktop/data/业务报告.txt" comma="1">
      <textFields>
        <textField/>
      </textFields>
    </textPr>
  </connection>
  <connection id="3" name="业务报告2" type="6" background="1" refreshedVersion="2" saveData="1">
    <textPr sourceFile="/Users/shaver/Desktop/data/业务报告.txt" comma="1">
      <textFields>
        <textField/>
      </textFields>
    </textPr>
  </connection>
  <connection id="4" name="业务报告3" type="6" background="1" refreshedVersion="2" saveData="1">
    <textPr sourceFile="/Users/shaver/Desktop/data/业务报告.txt" comma="1">
      <textFields>
        <textField/>
      </textFields>
    </textPr>
  </connection>
  <connection id="5" name="业务报告4" type="6" background="1" refreshedVersion="2" saveData="1">
    <textPr sourceFile="/Users/shaver/Desktop/data/业务报告.txt" comma="1">
      <textFields>
        <textField/>
      </textFields>
    </textPr>
  </connection>
  <connection id="6" name="业务报告5" type="6" background="1" refreshedVersion="2" saveData="1">
    <textPr sourceFile="/Users/shaver/Desktop/data/业务报告.txt">
      <textFields>
        <textField/>
      </textFields>
    </textPr>
  </connection>
  <connection id="7" name="业务报告6" type="6" background="1" refreshedVersion="2" saveData="1">
    <textPr sourceFile="/Users/shaver/Desktop/data/业务报告.txt" comma="1">
      <textFields>
        <textField/>
      </textFields>
    </textPr>
  </connection>
  <connection id="8" name="业务报告7" type="6" background="1" refreshedVersion="2" saveData="1">
    <textPr sourceFile="/Users/shaver/Desktop/data/业务报告.txt" comma="1">
      <textFields>
        <textField/>
      </textFields>
    </textPr>
  </connection>
  <connection id="9" name="子表" type="6" background="1" refreshedVersion="2" saveData="1">
    <textPr sourceFile="/Users/shaver/Desktop/data/子表.txt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<sst xmlns="http://schemas.openxmlformats.org/spreadsheetml/2006/main" count="890" uniqueCount="617">
  <si>
    <t>子表-基础数据部分</t>
  </si>
  <si>
    <t>位置</t>
  </si>
  <si>
    <t>名称</t>
  </si>
  <si>
    <t>解释</t>
  </si>
  <si>
    <t>公式</t>
  </si>
  <si>
    <t>$P$2</t>
  </si>
  <si>
    <t>SKU1</t>
  </si>
  <si>
    <t>来自于Base的D2 到 D4</t>
  </si>
  <si>
    <t>Base!$D$2:$D$4</t>
  </si>
  <si>
    <t>$T$2</t>
  </si>
  <si>
    <t>SKU2</t>
  </si>
  <si>
    <t>$X$2</t>
  </si>
  <si>
    <t>WOOT</t>
  </si>
  <si>
    <t>$N5</t>
  </si>
  <si>
    <t>日期</t>
  </si>
  <si>
    <t>$AC$1</t>
  </si>
  <si>
    <t xml:space="preserve">综合成本 含头程
</t>
  </si>
  <si>
    <t>$AC$2</t>
  </si>
  <si>
    <t>人民币转美元汇率</t>
  </si>
  <si>
    <t>$AD$1</t>
  </si>
  <si>
    <t xml:space="preserve">FBA派送费
</t>
  </si>
  <si>
    <t>$AD$2</t>
  </si>
  <si>
    <t xml:space="preserve">销售佣金率
</t>
  </si>
  <si>
    <t>$AH$2</t>
  </si>
  <si>
    <t>79.99*(1-15%-4%-$AB$2)-$AD$1-$AC$1/$AC$2</t>
  </si>
  <si>
    <t>$AG$2</t>
  </si>
  <si>
    <t>59.96*(1-5%)-89.99*15%-AC1/AC2</t>
  </si>
  <si>
    <t>模块</t>
  </si>
  <si>
    <t>单元格位置</t>
  </si>
  <si>
    <t>介绍</t>
  </si>
  <si>
    <t>A5</t>
  </si>
  <si>
    <t>问题</t>
  </si>
  <si>
    <t xml:space="preserve">满足   业务报告.日期 = 子表.日期
            业务报告.MSKU/WOOT ASIN = 子表.SKU1
获取   业务报告.问题/规划
</t>
  </si>
  <si>
    <t>IFERROR(LOOKUP(1,0/((业务报告!$A:$A=$N5)*(业务报告!$B:$B=$P$2)),业务报告!AU:AU),"")</t>
  </si>
  <si>
    <t>B5</t>
  </si>
  <si>
    <t>调整</t>
  </si>
  <si>
    <t xml:space="preserve">满足   业务报告.日期 = 子表.日期
            业务报告.MSKU/WOOT ASIN = 子表.SKU1
获取   业务报告.调整
</t>
  </si>
  <si>
    <t>IFERROR(LOOKUP(1,0/((业务报告!$A:$A=$N5)*(业务报告!$B:$B=$P$2)),业务报告!AV:AV),"")</t>
  </si>
  <si>
    <t>C5</t>
  </si>
  <si>
    <t>大类排名</t>
  </si>
  <si>
    <t xml:space="preserve">满足   业务报告.日期 = 子表.日期
           业务报告.MSKU/WOOT ASIN = 子表.SKU1
获取   累加 业务报告.大类排名（一般只有一条）
</t>
  </si>
  <si>
    <t>SUMIFS(业务报告!AC:AC,业务报告!$A:$A,$N5,业务报告!$B:$B,$P$2)</t>
  </si>
  <si>
    <t>D5</t>
  </si>
  <si>
    <t>小类排名</t>
  </si>
  <si>
    <t xml:space="preserve">满足   业务报告.日期 = 子表.日期
           业务报告.MSKU/WOOT ASIN = 子表.SKU1
获取   累加 业务报告.小类排名（一般只有一条）
</t>
  </si>
  <si>
    <t>SUMIFS(业务报告!AD:AD,业务报告!$A:$A,$N5,业务报告!$B:$B,$P$2)</t>
  </si>
  <si>
    <t>E5</t>
  </si>
  <si>
    <t>KW(Laser)自然位</t>
  </si>
  <si>
    <t xml:space="preserve">满足   业务报告.日期 = 子表.日期
            业务报告.MSKU/WOOT ASIN = 子表.SKU1
获取   业务报告.KW(Laser)自然位
</t>
  </si>
  <si>
    <t>_xlfn.XLOOKUP($N5&amp;$P$2,业务报告!$A:$A&amp;业务报告!$B:$B,业务报告!AE:AE,"")</t>
  </si>
  <si>
    <t>F5</t>
  </si>
  <si>
    <t>活动</t>
  </si>
  <si>
    <t xml:space="preserve">满足   业务报告.日期 = 子表.日期
            业务报告.MSKU/WOOT ASIN = 子表.SKU1
获取   业务报告.活动 否则为0
</t>
  </si>
  <si>
    <t>IFERROR(LOOKUP(1,0/((业务报告!$A:$A=$N5)*(业务报告!$B:$B=$P$2)),业务报告!AK:AK),0)</t>
  </si>
  <si>
    <t>G5</t>
  </si>
  <si>
    <t>划线价/VC LP</t>
  </si>
  <si>
    <t xml:space="preserve">满足   业务报告.日期 = 子表.日期
           业务报告.MSKU/WOOT ASIN = 子表.SKU1
获取   累加 业务报告.划线价/VC MSRP（一般只有一条）
</t>
  </si>
  <si>
    <t>SUMIFS(业务报告!AF:AF,业务报告!$A:$A,$N5,业务报告!$B:$B,$P$2)</t>
  </si>
  <si>
    <t>H5</t>
  </si>
  <si>
    <t>折扣</t>
  </si>
  <si>
    <t xml:space="preserve">满足   业务报告.日期 = 子表.日期
            业务报告.MSKU/WOOT ASIN = 子表.SKU1
获取   业务报告.折扣额/VC-CPN&amp;Promo 否则为0
</t>
  </si>
  <si>
    <t>IFERROR(LOOKUP(1,0/((业务报告!$A:$A=$N5)*(业务报告!B:B=$P$2)),业务报告!AG:AG),0)</t>
  </si>
  <si>
    <t>I5</t>
  </si>
  <si>
    <t>成交价</t>
  </si>
  <si>
    <t xml:space="preserve">满足   业务报告.日期 = 子表.日期
            业务报告.MSKU/WOOT ASIN = 子表.SKU1
获取   业务报告.成交价/VC采购价 否则为0
</t>
  </si>
  <si>
    <t>IFERROR(LOOKUP(1,0/((业务报告!$A:$A=$N5)*(业务报告!$B:$B=$P$2)),业务报告!AH:AH),0)</t>
  </si>
  <si>
    <t>J5</t>
  </si>
  <si>
    <t>WT采购价</t>
  </si>
  <si>
    <t xml:space="preserve">满足   WT报告.报告日期 = 子表.日期
           WT报告.子Asin = 子表.WOOT
获取   累加 WT报告.采购价（一般只有一条）
</t>
  </si>
  <si>
    <t>SUMIFS(WT报告!A:A,WT报告!$C:$C,$N5,WT报告!$H:$H,$X$2)</t>
  </si>
  <si>
    <t>K5</t>
  </si>
  <si>
    <t>评论星级</t>
  </si>
  <si>
    <t xml:space="preserve">满足   业务报告.日期 = 子表.日期
           业务报告.MSKU/WOOT ASIN = 子表.SKU1
获取   累加 业务报告.评论星级（一般只有一条）
</t>
  </si>
  <si>
    <t>IFERROR(LOOKUP(1,0/((业务报告!$A:$A=$N5)*(业务报告!$B:$B=$P$2)),业务报告!AI:AI),0)</t>
  </si>
  <si>
    <t>L5</t>
  </si>
  <si>
    <t>新差评</t>
  </si>
  <si>
    <t xml:space="preserve">满足   业务报告.日期 = 子表.日期
           业务报告.MSKU/WOOT ASIN = 子表.SKU1
获取   累加 业务报告.差评（一般只有一条）
</t>
  </si>
  <si>
    <t>IFERROR(LOOKUP(1,0/((业务报告!$A:$A=$N5)*(业务报告!$B:$B=$P$2)),业务报告!AJ:AJ),0)</t>
  </si>
  <si>
    <t>M5</t>
  </si>
  <si>
    <t>星期</t>
  </si>
  <si>
    <t>星期选择完自动生成</t>
  </si>
  <si>
    <t>IFERROR("周"&amp;WEEKDAY(N5,2),"-")</t>
  </si>
  <si>
    <t>销售数据 - TM002</t>
  </si>
  <si>
    <t>N5</t>
  </si>
  <si>
    <t>日期选择完自动生成</t>
  </si>
  <si>
    <t>DATE($O$1,$O$2,1)</t>
  </si>
  <si>
    <t>O5</t>
  </si>
  <si>
    <t>移动</t>
  </si>
  <si>
    <t xml:space="preserve">满足        业务报告.日期 = 子表.日期
                业务报告.MSKU/WOOT ASIN = 子表.SKU1
数据一    累加 业务报告.会话次数 –APP（一般只有一条）
满足        业务报告.日期 = 子表.日期
                业务报告.MSKU/WOOT ASIN = 子表.SKU2
数据二    累加 业务报告.会话次数 –APP（一般只有一条）
最后结果  数据一 +  数据二
</t>
  </si>
  <si>
    <t>SUMIFS(业务报告!G:G,业务报告!$A:$A,$N5,业务报告!$B:$B,$P$2)+SUMIFS(业务报告!G:G,业务报告!$A:$A,$N5,业务报告!$B:$B,$T$2)</t>
  </si>
  <si>
    <t>P5</t>
  </si>
  <si>
    <t>PC</t>
  </si>
  <si>
    <t xml:space="preserve">满足        业务报告.日期 = 子表.日期
                业务报告.MSKU/WOOT ASIN = 子表.SKU1
数据一    累加 业务报告.会话次数 – PC（一般只有一条）
满足        业务报告.日期 = 子表.日期
                业务报告.MSKU/WOOT ASIN = 子表.SKU2
数据二    累加 业务报告.会话次数 – PC（一般只有一条）
最后结果  数据一 +  数据二
</t>
  </si>
  <si>
    <t>SUMIFS(业务报告!H:H,业务报告!$A:$A,$N5,业务报告!$B:$B,$P$2)+SUMIFS(业务报告!H:H,业务报告!$A:$A,$N5,业务报告!$B:$B,$T$2)</t>
  </si>
  <si>
    <t>Q5</t>
  </si>
  <si>
    <t>访客数</t>
  </si>
  <si>
    <t xml:space="preserve">满足        业务报告.日期 = 子表.日期
                业务报告.MSKU/WOOT ASIN = 子表.SKU1
数据一    累加 业务报告.会话次数 – 总计（一般只有一条）
满足        业务报告.日期 = 子表.日期
                业务报告.MSKU/WOOT ASIN = 子表.SKU2
数据二    累加 业务报告.会话次数 – 总计（一般只有一条）
最后结果  数据一 +  数据二
</t>
  </si>
  <si>
    <t>SUMIFS(业务报告!I:I,业务报告!$A:$A,$N5,业务报告!$B:$B,$P$2)+SUMIFS(业务报告!I:I,业务报告!$A:$A,$N5,业务报告!$B:$B,$T$2)</t>
  </si>
  <si>
    <t>R5</t>
  </si>
  <si>
    <t>销量</t>
  </si>
  <si>
    <t xml:space="preserve">满足        业务报告.日期 = 子表.日期
                业务报告.MSKU/WOOT ASIN = 子表.SKU1
数据一    累加 业务报告.已订购商品数量（一般只有一条）
满足        业务报告.日期 = 子表.日期
                业务报告.MSKU/WOOT ASIN = 子表.SKU2
数据二    累加 业务报告.已订购商品数量（一般只有一条）
最后结果  数据一 +  数据二
</t>
  </si>
  <si>
    <t>SUMIFS(业务报告!T:T,业务报告!$A:$A,$N5,业务报告!$B:$B,$P$2)+SUMIFS(业务报告!T:T,业务报告!$A:$A,$N5,业务报告!$B:$B,$T$2)</t>
  </si>
  <si>
    <t>S5</t>
  </si>
  <si>
    <t>销量转化率</t>
  </si>
  <si>
    <t>(子表.销量 + 子表.WT单量) / 访客数</t>
  </si>
  <si>
    <t>IFERROR((R5+V5)/Q5,0)</t>
  </si>
  <si>
    <t>T5</t>
  </si>
  <si>
    <t>销售额</t>
  </si>
  <si>
    <t xml:space="preserve">满足        业务报告.日期 = 子表.日期
                业务报告.MSKU/WOOT ASIN = 子表.SKU1
数据一    累加 业务报告.已订购商品销售额（一般只有一条）
满足        业务报告.日期 = 子表.日期
                业务报告.MSKU/WOOT ASIN = 子表.SKU2
数据二    累加 业务报告.已订购商品销售额（一般只有一条）
最后结果  数据一 +  数据二
</t>
  </si>
  <si>
    <t>SUMIFS(业务报告!X:X,业务报告!$A:$A,$N5,业务报告!$B:$B,$P$2)+SUMIFS(业务报告!X:X,业务报告!$A:$A,$N5,业务报告!$B:$B,$T$2)</t>
  </si>
  <si>
    <t>U5</t>
  </si>
  <si>
    <t>测评单量</t>
  </si>
  <si>
    <t xml:space="preserve">满足        业务报告.日期 = 子表.日期
                业务报告.MSKU/WOOT ASIN = 子表.SKU1
数据一    累加 业务报告.主售送测单（一般只有一条）
满足        业务报告.日期 = 子表.日期
                业务报告.MSKU/WOOT ASIN = 子表.SKU1
数据二    累加 业务报告.VC送测单（一般只有一条）
最后结果  数据一 +  数据二
</t>
  </si>
  <si>
    <t>SUMIFS(业务报告!AO:AO,业务报告!$A:$A,$N5,业务报告!$B:$B,$P$2)+SUMIFS(业务报告!AP:AP,业务报告!$A:$A,$N5,业务报告!$B:$B,$P$2)</t>
  </si>
  <si>
    <t>V5</t>
  </si>
  <si>
    <t>WT单量</t>
  </si>
  <si>
    <t xml:space="preserve">满足   WT报告.报告日期 = 子表.日期
           WT报告.子Asin = 子表.WOOT
获取   累加 WT报告.Woot订单数量（一般只有一条）
</t>
  </si>
  <si>
    <t>SUMIFS(WT报告!I:I,WT报告!$C:$C,$N5,WT报告!$H:$H,$X$2)</t>
  </si>
  <si>
    <t>W5</t>
  </si>
  <si>
    <t>WT销售额</t>
  </si>
  <si>
    <t xml:space="preserve">满足   WT报告.报告日期 = 子表.日期
           WT报告.子Asin = 子表.WOOT
获取   累加 WT报告.总销售额（一般只有一条）
</t>
  </si>
  <si>
    <t>SUMIFS(WT报告!Z:Z,WT报告!$C:$C,$N5,WT报告!$H:$H,$X$2)</t>
  </si>
  <si>
    <t>X5</t>
  </si>
  <si>
    <t>父体单量</t>
  </si>
  <si>
    <t xml:space="preserve">满足        业务报告.日期 = 子表.日期
                业务报告.MSKU/WOOT ASIN = 子表.SKU1
数据一    累加 业务报告.父体单（一般只有一条）
满足        业务报告.日期 = 子表.日期
                业务报告.MSKU/WOOT ASIN = 子表.SKU2
数据二    累加 业务报告.父体单（一般只有一条）
最后结果  数据一 +  数据二 + 子表.WT单量
</t>
  </si>
  <si>
    <t>SUMIFS(业务报告!AS:AS,业务报告!$A:$A,$N5,业务报告!$B:$B,$P$2)+SUMIFS(业务报告!AS:AS,业务报告!$A:$A,$N5,业务报告!$B:$B,$T$2)+V5</t>
  </si>
  <si>
    <t>毛利润</t>
  </si>
  <si>
    <t>Y5</t>
  </si>
  <si>
    <t>测评费用US$</t>
  </si>
  <si>
    <t xml:space="preserve">满足        业务报告.日期 = 子表.日期
                业务报告.MSKU/WOOT ASIN = 子表.SKU1
数据一    业务报告.主售送测单 * 业务报告*主售测评成本￥/ 汇率
满足        业务报告.日期 = 子表.日期
                业务报告.MSKU/WOOT ASIN = 子表.SKU1
数据二    业务报告.VC送测单 * 业务报告*VC测评成本￥/汇率
最后结果  数据一 +  数据二
</t>
  </si>
  <si>
    <t>SUMIFS(业务报告!AO:AO,业务报告!$A:$A,$N5,业务报告!$B:$B,$P$2)*SUMIFS(业务报告!AM:AM,业务报告!$A:$A,$N5,业务报告!$B:$B,$P$2)/$AC$2+SUMIFS(业务报告!AP:AP,业务报告!$A:$A,$N5,业务报告!$B:$B,$P$2)*SUMIFS(业务报告!AN:AN,业务报告!$A:$A,$N5,业务报告!$B:$B,$P$2)/$AC$2</t>
  </si>
  <si>
    <t>Z5</t>
  </si>
  <si>
    <t>SC广告利润$</t>
  </si>
  <si>
    <t>（子表.成交价 *（1 - 子表.销售佣金率 - 4% -10%）
-  子表FBA派送费 - 子表.综合成本 含头程/子表.人民币转美元汇率）* 子表.AD单 
- 子表.广告费</t>
  </si>
  <si>
    <t>(I5*(1-$AD$2-4%-10%)-$AD$1-$AC$1/$AC$2)*BB5-BC5</t>
  </si>
  <si>
    <t>AA5</t>
  </si>
  <si>
    <t>SC利润US$</t>
  </si>
  <si>
    <t xml:space="preserve">如果        子表.销量 &gt; 子表.WT单量
根据        业务报告.日期 = 子表.日期
                业务报告.MSKU/WOOT ASIN = 子表.SKU1
数据一    等于业务报告.主售送测单 否则数据一 = 0
子表.SC广告利润$ * (子表.销量 - 数据一) - 子表.广告费
</t>
  </si>
  <si>
    <t>(I5*(1-$AD$2-4%-10%)-$AD$1-$AC$1/$AC$2)*(R5-IF(R5&gt;V5,SUMIFS(业务报告!AO:AO,业务报告!$A:$A,$N5,业务报告!$B:$B,$P$2),0))-BC5</t>
  </si>
  <si>
    <t>AB5</t>
  </si>
  <si>
    <t>SC毛利率</t>
  </si>
  <si>
    <t>子表.SC利润$ / (子表.成交价 * 子表.销量) ，出现错误为0</t>
  </si>
  <si>
    <t>IFERROR(AA5/(I5*R5),0)</t>
  </si>
  <si>
    <t>AC5</t>
  </si>
  <si>
    <t>WT广告利润$</t>
  </si>
  <si>
    <t>AD单 * 
（WT采购价 - 综合成本含头程/人民币转美元汇率- WT采购价 *4%）- 广告费</t>
  </si>
  <si>
    <t>AR5*(J5-$AC$1/$AC$2-J5*4%)-AS5</t>
  </si>
  <si>
    <t>AD5</t>
  </si>
  <si>
    <t>WT利润US$</t>
  </si>
  <si>
    <t xml:space="preserve">如果        子表.销量 &lt; 子表.WT单量
根据        业务报告.日期 = 子表.日期
                业务报告.MSKU/WOOT ASIN = 子表.SKU1
数据一    等于业务报告.主售送测单 否则数据一 = 0
(WT单量 - 数据一)
</t>
  </si>
  <si>
    <t>(V5-IF(R5&lt;V5,SUMIFS(业务报告!AO:AO,业务报告!$A:$A,$N5,业务报告!$B:$B,$P$2),0))*(J5-$AC$1/$AC$2-J5*4%)-AS5</t>
  </si>
  <si>
    <t>AE5</t>
  </si>
  <si>
    <t>SC变体利润$</t>
  </si>
  <si>
    <t>满足      业务报告.日期 = 子表.日期
              业务报告.MSKU/WOOT ASIN = 子表.SKU1
数据一   业务报告.SC变体单 没有就为0
数据一 *  $AH$2</t>
  </si>
  <si>
    <t>IFERROR(LOOKUP(1,0/((业务报告!$A:$A=$N5)*(业务报告!$B:$B=$P$2)),业务报告!AQ:AQ),0)*$AH$2</t>
  </si>
  <si>
    <t>AF5</t>
  </si>
  <si>
    <t>VC变体利润$</t>
  </si>
  <si>
    <t>满足      业务报告.日期 = 子表.日期
              业务报告.MSKU/WOOT ASIN = 子表.SKU1
数据一   业务报告.VC变体单 没有就为0
数据一 *  $AG$2</t>
  </si>
  <si>
    <t>IFERROR(LOOKUP(1,0/((业务报告!$A:$A=$N5)*(业务报告!$B:$B=$P$2)),业务报告!AR:AR),0)*$AG$2</t>
  </si>
  <si>
    <t>AG5</t>
  </si>
  <si>
    <t>总利润US$</t>
  </si>
  <si>
    <t>SC利润US$ + WT利润US$ + SC变体利润$ + VC变体利润$ - 测评费用US$</t>
  </si>
  <si>
    <t>AA5+AD5+AE5+AF5-Y5</t>
  </si>
  <si>
    <t>AH5</t>
  </si>
  <si>
    <t>总毛利率</t>
  </si>
  <si>
    <t>总利润US$ / (销售额 + WT采购价 * WT单量)</t>
  </si>
  <si>
    <t>IFERROR((AG5)/(T5+J5*V5),0)</t>
  </si>
  <si>
    <t>AI5</t>
  </si>
  <si>
    <t>父体单个毛利</t>
  </si>
  <si>
    <t>总利润US$ / 父体单量</t>
  </si>
  <si>
    <t>IFERROR((AG5)/(X5),0)</t>
  </si>
  <si>
    <t>SC广告数据汇总</t>
  </si>
  <si>
    <t>AJ5</t>
  </si>
  <si>
    <t>总TACOS</t>
  </si>
  <si>
    <t>广告费 / （WT单量 * WT采购价）</t>
  </si>
  <si>
    <t>IFERROR(AS5/(V5*J5),0)</t>
  </si>
  <si>
    <t>AK5</t>
  </si>
  <si>
    <t>总CPO</t>
  </si>
  <si>
    <t>广告费 / WT单量  向上取一位小数</t>
  </si>
  <si>
    <t>IFERROR(ROUNDUP(AS5/V5,1),0)</t>
  </si>
  <si>
    <t>AL5</t>
  </si>
  <si>
    <t>广告CPA</t>
  </si>
  <si>
    <t xml:space="preserve">满足   WT报告.报告日期 = 子表.日期
           WT报告.子Asin = 子表.WOOT
获取   累加 WT报告.单个广告订单的费用（一般只有一条）
</t>
  </si>
  <si>
    <t>SUMIFS(WT报告!S:S,WT报告!$C:$C,$N5,WT报告!$H:$H,$X$2)</t>
  </si>
  <si>
    <t>AM5</t>
  </si>
  <si>
    <t>广告CVR</t>
  </si>
  <si>
    <t>AD单 / 点击</t>
  </si>
  <si>
    <t>IFERROR((AR5)/AP5,0)</t>
  </si>
  <si>
    <t>AN5</t>
  </si>
  <si>
    <t>CPC</t>
  </si>
  <si>
    <t xml:space="preserve">满足   WT报告.报告日期 = 子表.日期
           WT报告.子Asin = 子表.WOOT
获取   累加 WT报告.广告单次点击花费（一般只有一条）
</t>
  </si>
  <si>
    <t>SUMIFS(WT报告!N:N,WT报告!$C:$C,$N5,WT报告!$H:$H,$X$2)</t>
  </si>
  <si>
    <t>AO5</t>
  </si>
  <si>
    <t>广告单占比</t>
  </si>
  <si>
    <t>AD单 / WT单量</t>
  </si>
  <si>
    <t>IFERROR(AR5/(V5),0)</t>
  </si>
  <si>
    <t>AP5</t>
  </si>
  <si>
    <t>点击</t>
  </si>
  <si>
    <t xml:space="preserve">满足   WT报告.报告日期 = 子表.日期
           WT报告.子Asin = 子表.WOOT
获取   累加 WT报告.点击数量（一般只有一条）
</t>
  </si>
  <si>
    <t>SUMIFS(WT报告!P:P,WT报告!$C:$C,$N5,WT报告!$H:$H,$X$2)</t>
  </si>
  <si>
    <t>AQ5</t>
  </si>
  <si>
    <t>CTR</t>
  </si>
  <si>
    <t xml:space="preserve">满足   WT报告.报告日期 = 子表.日期
           WT报告.子Asin = 子表.WOOT
获取   累加 WT报告.广告点击率（一般只有一条）
</t>
  </si>
  <si>
    <t>SUMIFS(WT报告!Q:Q,WT报告!$C:$C,$N5,WT报告!$H:$H,$X$2)</t>
  </si>
  <si>
    <t>AR5</t>
  </si>
  <si>
    <t>AD单</t>
  </si>
  <si>
    <t xml:space="preserve">满足   WT报告.报告日期 = 子表.日期
           WT报告.子Asin = 子表.WOOT
获取   累加 WT报告.广告订单数量（一般只有一条）
</t>
  </si>
  <si>
    <t>SUMIFS(WT报告!J:J,WT报告!$C:$C,$N5,WT报告!$H:$H,$X$2)</t>
  </si>
  <si>
    <t>AS5</t>
  </si>
  <si>
    <t>广告费</t>
  </si>
  <si>
    <t xml:space="preserve">满足   WT报告.报告日期 = 子表.日期
           WT报告.子Asin = 子表.WOOT
获取   累加 WT报告.广告花费（一般只有一条）
</t>
  </si>
  <si>
    <t>SUMIFS(WT报告!M:M,WT报告!$C:$C,$N5,WT报告!$H:$H,$X$2)</t>
  </si>
  <si>
    <t>AT5</t>
  </si>
  <si>
    <t>（SP广告数据.Spend + 展示型广告数据.Spend + 品牌视频广告数据.Spend）
/ (销量 * 成交价)</t>
  </si>
  <si>
    <t>IFERROR((BO5+BX5+CG5)/(R5*I5),0)</t>
  </si>
  <si>
    <t>AU5</t>
  </si>
  <si>
    <t>广告费 / 销量  向上取一位小数</t>
  </si>
  <si>
    <t>IFERROR(ROUNDUP(BC5/R5,1),0)</t>
  </si>
  <si>
    <t>AV5</t>
  </si>
  <si>
    <t>广告费/ AD单 向上取一位小数</t>
  </si>
  <si>
    <t>IFERROR(ROUNDUP(BC5/BB5,1),0)</t>
  </si>
  <si>
    <t>AW5</t>
  </si>
  <si>
    <t>IFERROR((BB5)/AZ5,0)</t>
  </si>
  <si>
    <t>AX5</t>
  </si>
  <si>
    <t>广告费 / 点击</t>
  </si>
  <si>
    <t>IFERROR(BC5/AZ5,0)</t>
  </si>
  <si>
    <t>AY5</t>
  </si>
  <si>
    <t>（SP广告数据.订单 + 展示型广告数据.订单 + 品牌视频广告数据.订单
/ (销量 + WT单量)</t>
  </si>
  <si>
    <t>IFERROR((BL5+BU5+CD5)/(R5+V5),0)</t>
  </si>
  <si>
    <t>AZ5</t>
  </si>
  <si>
    <t>SP广告数据.Click + 展示型广告数据.Click + 品牌视频广告数据.Click</t>
  </si>
  <si>
    <t>BI5+BR5+CA5</t>
  </si>
  <si>
    <t>BA5</t>
  </si>
  <si>
    <t>（SP广告数据.Click + 展示型广告数据.Click + 品牌视频广告数据.Click）/
SP广告数据.Impressions + 展示型广告数据.Impressions + 品牌视频广告数据.Impressions</t>
  </si>
  <si>
    <t>IFERROR((BI5+BR5+CA5)/(BH5+BQ5+BZ5),0)</t>
  </si>
  <si>
    <t>BB5</t>
  </si>
  <si>
    <t xml:space="preserve">SP广告数据.订单 + 展示型广告数据.订单  + 品牌视频广告数据.订单 </t>
  </si>
  <si>
    <t>BL5+BU5+CD5</t>
  </si>
  <si>
    <t>BC5</t>
  </si>
  <si>
    <t xml:space="preserve">SP广告数据.Spend + 展示型广告数据.Spend  + 品牌视频广告数据.Spend </t>
  </si>
  <si>
    <t>ROUND(BO5+BX5+CG5,2)</t>
  </si>
  <si>
    <t>BD5</t>
  </si>
  <si>
    <t>ACoS</t>
  </si>
  <si>
    <t>广告费 / （SP广告数据.Sales + 展示型广告数据.Sales  + 品牌视频广告数据.Sales ）</t>
  </si>
  <si>
    <t>IFERROR(BC5/(BM5+BV5+CE5),0)</t>
  </si>
  <si>
    <t>SP+SBV</t>
  </si>
  <si>
    <t>BE5</t>
  </si>
  <si>
    <t>（SP广告数据.Spend + 品牌视频广告数据.Spend）/ SP+SBV . AD单</t>
  </si>
  <si>
    <t>IFERROR(ROUNDUP((BO5+CG5)/BG5,1),0)</t>
  </si>
  <si>
    <t>BF5</t>
  </si>
  <si>
    <t xml:space="preserve"> SP+SBV . AD单 / (SP广告数据.Click + 品牌视频广告数据.Click)</t>
  </si>
  <si>
    <t>IFERROR(BG5/(BI5+CA5),0)</t>
  </si>
  <si>
    <t>BG5</t>
  </si>
  <si>
    <t>SP广告数据.订单 + 品牌视频广告数据.订单</t>
  </si>
  <si>
    <t>BL5+CD5</t>
  </si>
  <si>
    <t>SP广告数据</t>
  </si>
  <si>
    <t>BH5</t>
  </si>
  <si>
    <t>Impressions</t>
  </si>
  <si>
    <t xml:space="preserve">满足        SP.日期 = 子表.日期
                SP.广告ASIN = 子表.SKU1
数据一    累加 SP.展示量（一般只有一条）
满足        SP.日期 = 子表.日期
                SP.广告ASIN = 子表.SKU2
数据二    累加 SP.展示量（一般只有一条）
最后结果  数据一 +  数据二
</t>
  </si>
  <si>
    <t>SUMIFS(SP!I:I,SP!A:A,N5,SP!H:H,$P$2)+SUMIFS(SP!I:I,SP!A:A,N5,SP!H:H,$T$2)</t>
  </si>
  <si>
    <t>BI5</t>
  </si>
  <si>
    <t>Click</t>
  </si>
  <si>
    <t xml:space="preserve">满足        SP.日期 = 子表.日期
                SP.广告ASIN = 子表.SKU1
数据一    累加 SP.点击量（一般只有一条）
满足        SP.日期 = 子表.日期
                SP.广告ASIN = 子表.SKU2
数据二    累加 SP.点击量（一般只有一条）
最后结果  数据一 +  数据二
</t>
  </si>
  <si>
    <t>SUMIFS(SP!J:J,SP!A:A,N5,SP!H:H,$P$2)+SUMIFS(SP!J:J,SP!A:A,N5,SP!H:H,$T$2)</t>
  </si>
  <si>
    <t>BJ5</t>
  </si>
  <si>
    <t xml:space="preserve">满足        SP.日期 = 子表.日期
                SP.广告ASIN = 子表.SKU1
数据一    累加 SP.点击率(CTR)（一般只有一条）
满足        SP.日期 = 子表.日期
                SP.广告ASIN = 子表.SKU2
数据二    累加 SP.点击率(CTR)（一般只有一条）
最后结果  数据一 +  数据二
</t>
  </si>
  <si>
    <t>SUMIFS(SP!K:K,SP!A:A,N5,SP!H:H,$P$2)+SUMIFS(SP!K:K,SP!A:A,N5,SP!H:H,$T$2)</t>
  </si>
  <si>
    <t>BK5</t>
  </si>
  <si>
    <t xml:space="preserve">满足        SP.日期 = 子表.日期
                SP.广告ASIN = 子表.SKU1
数据一    累加 SP.每次点击成本(CPC)（一般只有一条）
满足        SP.日期 = 子表.日期
                SP.广告ASIN = 子表.SKU2
数据二    累加 SP.每次点击成本(CPC)（一般只有一条）
最后结果  数据一 +  数据二
</t>
  </si>
  <si>
    <t>SUMIFS(SP!L:L,SP!A:A,N5,SP!H:H,$P$2)+SUMIFS(SP!L:L,SP!A:A,N5,SP!H:H,$T$2)</t>
  </si>
  <si>
    <t>BL5</t>
  </si>
  <si>
    <t>订单</t>
  </si>
  <si>
    <t xml:space="preserve">满足        SP.日期 = 子表.日期
                SP.广告ASIN = 子表.SKU1
数据一    累加 SP.7天总订单数(#)（一般只有一条）
满足        SP.日期 = 子表.日期
                SP.广告ASIN = 子表.SKU2
数据二    累加 SP.7天总订单数(#)（一般只有一条）
最后结果  数据一 +  数据二
</t>
  </si>
  <si>
    <t>SUMIFS(SP!Q:Q,SP!A:A,N6,SP!H:H,$P$2)+SUMIFS(SP!Q:Q,SP!A:A,N6,SP!H:H,$T$2)</t>
  </si>
  <si>
    <t>BM5</t>
  </si>
  <si>
    <t>Sales</t>
  </si>
  <si>
    <t xml:space="preserve">满足        SP.日期 = 子表.日期
                SP.广告ASIN = 子表.SKU1
数据一    累加 SP.7天总销售量(#)（一般只有一条）
满足        SP.日期 = 子表.日期
                SP.广告ASIN = 子表.SKU2
数据二    累加 SP.7天总销售量(#)（一般只有一条）
最后结果  数据一 +  数据二
</t>
  </si>
  <si>
    <t>SUMIFS(SP!R:R,SP!A:A,N6,SP!H:H,$P$2)+SUMIFS(SP!R:R,SP!A:A,N6,SP!H:H,$T$2)</t>
  </si>
  <si>
    <t>BN5</t>
  </si>
  <si>
    <t>CR</t>
  </si>
  <si>
    <t xml:space="preserve">满足        SP.日期 = 子表.日期
                SP.广告ASIN = 子表.SKU1
数据一    累加 SP.7天的转化率（一般只有一条）
满足        SP.日期 = 子表.日期
                SP.广告ASIN = 子表.SKU2
数据二    累加 SP.7天的转化率（一般只有一条）
最后结果  数据一 +  数据二
</t>
  </si>
  <si>
    <t>SUMIFS(SP!S:S,SP!A:A,N6,SP!H:H,$P$2)+SUMIFS(SP!S:S,SP!A:A,N6,SP!H:H,$T$2)</t>
  </si>
  <si>
    <t>BO5</t>
  </si>
  <si>
    <t>Spend</t>
  </si>
  <si>
    <t xml:space="preserve">满足        SP.日期 = 子表.日期
                SP.广告ASIN = 子表.SKU1
数据一    累加 SP.花费（一般只有一条）
满足        SP.日期 = 子表.日期
                SP.广告ASIN = 子表.SKU2
数据二    累加 SP.花费（一般只有一条）
最后结果  数据一 +  数据二
</t>
  </si>
  <si>
    <t>SUMIFS(SP!M:M,SP!A:A,N6,SP!H:H,$P$2)+SUMIFS(SP!M:M,SP!A:A,N6,SP!H:H,$T$2)</t>
  </si>
  <si>
    <t>BP5</t>
  </si>
  <si>
    <t>ACOS</t>
  </si>
  <si>
    <t xml:space="preserve">满足        SP.日期 = 子表.日期
                SP.广告ASIN = 子表.SKU1
数据一    累加 SP.广告成本销售比(ACoS)（一般只有一条）
满足        SP.日期 = 子表.日期
                SP.广告ASIN = 子表.SKU2
数据二    累加 SP.广告成本销售比(ACoS)（一般只有一条）
最后结果  数据一 +  数据二
</t>
  </si>
  <si>
    <t>SUMIFS(SP!O:O,SP!A:A,N6,SP!H:H,$P$2)+SUMIFS(SP!O:O,SP!A:A,N6,SP!H:H,$T$2)</t>
  </si>
  <si>
    <t>展示型广告数据</t>
  </si>
  <si>
    <t>BQ5</t>
  </si>
  <si>
    <t xml:space="preserve">满足        SD.日期 = 子表.日期
                SD.广告SKU = 子表.SKU1
数据一    累加 SD.展示量（一般只有一条）
满足        SD.日期 = 子表.日期
                SD.广告SKU = 子表.SKU2
数据二    累加 SD.展示量（一般只有一条）
最后结果  数据一 +  数据二
</t>
  </si>
  <si>
    <t>SUMIFS(SD!J:J,SD!A:A,N5,SD!H:H,$P$2)+SUMIFS(SD!J:J,SD!A:A,N5,SD!H:H,$T$2)</t>
  </si>
  <si>
    <t>BR5</t>
  </si>
  <si>
    <t xml:space="preserve">满足        SD.日期 = 子表.日期
                SD.广告SKU = 子表.SKU1
数据一    累加 SD.点击量（一般只有一条）
满足        SD.日期 = 子表.日期
                SD.广告SKU = 子表.SKU2
数据二    累加 SD.点击量（一般只有一条）
最后结果  数据一 +  数据二
</t>
  </si>
  <si>
    <t>SUMIFS(SD!L:L,SD!A:A,N5,SD!H:H,$P$2)+SUMIFS(SD!L:L,SD!A:A,N5,SD!H:H,$T$2)</t>
  </si>
  <si>
    <t>BS5</t>
  </si>
  <si>
    <t>Click / Impressions</t>
  </si>
  <si>
    <t>IFERROR(BR5/BQ5,0)</t>
  </si>
  <si>
    <t>BT5</t>
  </si>
  <si>
    <t>Spend / Click</t>
  </si>
  <si>
    <t>IFERROR(BX5/BR5,0)</t>
  </si>
  <si>
    <t>BU5</t>
  </si>
  <si>
    <t xml:space="preserve">满足        SD.日期 = 子表.日期
                SD.广告SKU = 子表.SKU1
数据一    累加 SD.14天总销售量(#)（一般只有一条）
满足        SD.日期 = 子表.日期
                SD.广告SKU = 子表.SKU2
数据二    累加 SD.14天总销售量(#)（一般只有一条）
最后结果  数据一 +  数据二
</t>
  </si>
  <si>
    <t>SUMIFS(SD!U:U,SD!A:A,N5,SD!H:H,$P$2)+SUMIFS(SD!U:U,SD!A:A,N5,SD!H:H,$T$2)</t>
  </si>
  <si>
    <t>BV5</t>
  </si>
  <si>
    <t xml:space="preserve">满足        SD.日期 = 子表.日期
                SD.广告SKU = 子表.SKU1
数据一    累加 SD.14天总销售额（一般只有一条）
满足        SD.日期 = 子表.日期
                SD.广告SKU = 子表.SKU2
数据二    累加 SD.14天总销售额（一般只有一条）
最后结果  数据一 +  数据二
</t>
  </si>
  <si>
    <t>SUMIFS(SD!V:V,SD!A:A,N5,SD!H:H,$P$2)+SUMIFS(SD!V:V,SD!A:A,N5,SD!H:H,$T$2)</t>
  </si>
  <si>
    <t>BW5</t>
  </si>
  <si>
    <t>订单 / Click</t>
  </si>
  <si>
    <t>IFERROR(BU5/BR5,0)</t>
  </si>
  <si>
    <t>BX5</t>
  </si>
  <si>
    <t xml:space="preserve">满足        SD.日期 = 子表.日期
                SD.广告SKU = 子表.SKU1
数据一    累加 SD.花费（一般只有一条）
满足        SD.日期 = 子表.日期
                SD.广告SKU = 子表.SKU2
数据二    累加 SD.花费（一般只有一条）
最后结果  数据一 +  数据二
</t>
  </si>
  <si>
    <t>SUMIFS(SD!O:O,SD!A:A,N5,SD!H:H,$P$2)+SUMIFS(SD!O:O,SD!A:A,N5,SD!H:H,$T$2)</t>
  </si>
  <si>
    <t>BY5</t>
  </si>
  <si>
    <t xml:space="preserve"> Spend / Sales</t>
  </si>
  <si>
    <t>IFERROR(BX5/BV5,0)</t>
  </si>
  <si>
    <t>品牌视频广告数据</t>
  </si>
  <si>
    <t>BZ5</t>
  </si>
  <si>
    <t xml:space="preserve">满足        SB.日期 = 子表.日期
                SB.SKU/ASIN = 子表.SKU1
数据一    累加 SB.展示量（一般只有一条）
满足        SB.日期 = 子表.日期
                SB.SKU/ASIN = 子表.SKU2
数据二    累加 SB.展示量（一般只有一条）
最后结果  数据一 +  数据二
</t>
  </si>
  <si>
    <t>SUMIFS(SB!H:H,SB!B:B,N5,SB!A:A,$P$2)+SUMIFS(SB!H:H,SB!B:B,N5,SB!A:A,$T$2)</t>
  </si>
  <si>
    <t>CA5</t>
  </si>
  <si>
    <t xml:space="preserve">满足        SB.日期 = 子表.日期
                SB.SKU/ASIN = 子表.SKU1
数据一    累加 SB.点击量（一般只有一条）
满足        SB.日期 = 子表.日期
                SB.SKU/ASIN = 子表.SKU2
数据二    累加 SB.点击量（一般只有一条）
最后结果  数据一 +  数据二
</t>
  </si>
  <si>
    <t>SUMIFS(SB!I:I,SB!B:B,N5,SB!A:A,$P$2)+SUMIFS(SB!I:I,SB!B:B,N5,SB!A:A,$T$2)</t>
  </si>
  <si>
    <t>CB5</t>
  </si>
  <si>
    <t>IFERROR(CA5/BZ5,0)</t>
  </si>
  <si>
    <t>CC5</t>
  </si>
  <si>
    <t>IFERROR(CG5/CA5,0)</t>
  </si>
  <si>
    <t>CD5</t>
  </si>
  <si>
    <t xml:space="preserve">满足        SB.日期 = 子表.日期
                SB.SKU/ASIN = 子表.SKU1
数据一    累加 SB.14天总销售量(#)（一般只有一条）
满足        SB.日期 = 子表.日期
                SB.SKU/ASIN = 子表.SKU2
数据二    累加 SB.14天总销售量(#)（一般只有一条）
最后结果  数据一 +  数据二
</t>
  </si>
  <si>
    <t>SUMIFS(SB!Q:Q,SB!B:B,N5,SB!A:A,$P$2)+SUMIFS(SB!Q:Q,SB!B:B,N5,SB!A:A,$T$2)</t>
  </si>
  <si>
    <t>CE5</t>
  </si>
  <si>
    <t xml:space="preserve">满足        SB.日期 = 子表.日期
                SB.SKU/ASIN = 子表.SKU1
数据一    累加 SB.14天总销售额（一般只有一条）
满足        SB.日期 = 子表.日期
                SB.SKU/ASIN = 子表.SKU2
数据二    累加 SB.14天总销售额（一般只有一条）
最后结果  数据一 +  数据二
</t>
  </si>
  <si>
    <t>SUMIFS(SB!O:O,SB!B:B,N5,SB!A:A,$P$2)+SUMIFS(SB!O:O,SB!B:B,N5,SB!A:A,$T$2)</t>
  </si>
  <si>
    <t>CF5</t>
  </si>
  <si>
    <t>IFERROR(CD5/CA5,0)</t>
  </si>
  <si>
    <t>CG5</t>
  </si>
  <si>
    <t xml:space="preserve">满足        SB.日期 = 子表.日期
                SB.SKU/ASIN = 子表.SKU1
数据一    累加 SB.花费（一般只有一条）
满足        SB.日期 = 子表.日期
                SB.SKU/ASIN = 子表.SKU2
数据二    累加 SB.花费（一般只有一条）
最后结果  数据一 +  数据二
</t>
  </si>
  <si>
    <t>SUMIFS(SB!L:L,SB!B:B,N5,SB!A:A,$P$2)+SUMIFS(SB!L:L,SB!B:B,N5,SB!A:A,$T$2)</t>
  </si>
  <si>
    <t>CH5</t>
  </si>
  <si>
    <t>IFERROR(CG5/CE5,0)</t>
  </si>
  <si>
    <t>A1</t>
  </si>
  <si>
    <t>B1</t>
  </si>
  <si>
    <t>MSKU/WOOT ASIN</t>
  </si>
  <si>
    <t>C1</t>
  </si>
  <si>
    <t>店铺</t>
  </si>
  <si>
    <t>D1</t>
  </si>
  <si>
    <t>（父）ASIN</t>
  </si>
  <si>
    <t>E1</t>
  </si>
  <si>
    <t>（子）ASIN</t>
  </si>
  <si>
    <t>F1</t>
  </si>
  <si>
    <t>商品名称</t>
  </si>
  <si>
    <t>G1</t>
  </si>
  <si>
    <t>会话次数 –APP</t>
  </si>
  <si>
    <t>H1</t>
  </si>
  <si>
    <t>会话次数 – PC</t>
  </si>
  <si>
    <t>I1</t>
  </si>
  <si>
    <t>会话次数 – 总计</t>
  </si>
  <si>
    <t>J1</t>
  </si>
  <si>
    <t>会话百分比 – 移动应用</t>
  </si>
  <si>
    <t>K1</t>
  </si>
  <si>
    <t>会话百分比 – 浏览器</t>
  </si>
  <si>
    <t>L1</t>
  </si>
  <si>
    <t>会话百分比 – 总计</t>
  </si>
  <si>
    <t>M1</t>
  </si>
  <si>
    <t>页面浏览量 – 移动应用</t>
  </si>
  <si>
    <t>N1</t>
  </si>
  <si>
    <t>页面浏览量 – 浏览器</t>
  </si>
  <si>
    <t>O1</t>
  </si>
  <si>
    <t>页面浏览量 – 总计</t>
  </si>
  <si>
    <t>P1</t>
  </si>
  <si>
    <t>页面浏览量百分比 – 移动应用</t>
  </si>
  <si>
    <t>Q1</t>
  </si>
  <si>
    <t>页面浏览量百分比 – 浏览器</t>
  </si>
  <si>
    <t>R1</t>
  </si>
  <si>
    <t>页面浏览量百分比 – 总计</t>
  </si>
  <si>
    <t>S1</t>
  </si>
  <si>
    <t>推荐报价（购买按钮）百分比</t>
  </si>
  <si>
    <t>T1</t>
  </si>
  <si>
    <t>已订购商品数量</t>
  </si>
  <si>
    <t>U1</t>
  </si>
  <si>
    <t>已订购商品数量 - B2B</t>
  </si>
  <si>
    <t>V1</t>
  </si>
  <si>
    <t>商品会话百分比</t>
  </si>
  <si>
    <t>W1</t>
  </si>
  <si>
    <t>商品会话百分比 - B2B</t>
  </si>
  <si>
    <t>X1</t>
  </si>
  <si>
    <t>已订购商品销售额</t>
  </si>
  <si>
    <t>Y1</t>
  </si>
  <si>
    <t>已订购商品销售额 - B2B</t>
  </si>
  <si>
    <t>Z1</t>
  </si>
  <si>
    <t>订单商品总数</t>
  </si>
  <si>
    <t>AA1</t>
  </si>
  <si>
    <t>订单商品总数 - B2B</t>
  </si>
  <si>
    <t>AB1</t>
  </si>
  <si>
    <t>AC1</t>
  </si>
  <si>
    <t>AD1</t>
  </si>
  <si>
    <t>AE1</t>
  </si>
  <si>
    <t>AF1</t>
  </si>
  <si>
    <t>划线价/VC MSRP</t>
  </si>
  <si>
    <t>AG1</t>
  </si>
  <si>
    <t>折扣额/VC-CPN&amp;Promo</t>
  </si>
  <si>
    <t>AH1</t>
  </si>
  <si>
    <t>成交价/VC采购价</t>
  </si>
  <si>
    <t>AI1</t>
  </si>
  <si>
    <t>AJ1</t>
  </si>
  <si>
    <t>差评</t>
  </si>
  <si>
    <t>AK1</t>
  </si>
  <si>
    <t>AL1</t>
  </si>
  <si>
    <t>SC社媒单量</t>
  </si>
  <si>
    <t>AM1</t>
  </si>
  <si>
    <t>主售测评成本￥</t>
  </si>
  <si>
    <t>AN1</t>
  </si>
  <si>
    <t>VC测评成本￥</t>
  </si>
  <si>
    <t>AO1</t>
  </si>
  <si>
    <t>主售送测单</t>
  </si>
  <si>
    <t>AP1</t>
  </si>
  <si>
    <t>VC送测单</t>
  </si>
  <si>
    <t>AQ1</t>
  </si>
  <si>
    <t>SC变体单</t>
  </si>
  <si>
    <t>AR1</t>
  </si>
  <si>
    <t>VC变体单</t>
  </si>
  <si>
    <t>AS1</t>
  </si>
  <si>
    <t>父体单</t>
  </si>
  <si>
    <t>AT1</t>
  </si>
  <si>
    <t>VC父体单</t>
  </si>
  <si>
    <t>AU1</t>
  </si>
  <si>
    <t>问题/规划</t>
  </si>
  <si>
    <t>AV1</t>
  </si>
  <si>
    <t>AW1</t>
  </si>
  <si>
    <t>业务报告 下载路径：领星-产品表现</t>
  </si>
  <si>
    <t>AX1</t>
  </si>
  <si>
    <t>None</t>
  </si>
  <si>
    <t>A2</t>
  </si>
  <si>
    <t>采购价</t>
  </si>
  <si>
    <t>B2</t>
  </si>
  <si>
    <t>活动价</t>
  </si>
  <si>
    <t>C2</t>
  </si>
  <si>
    <t>报告日期</t>
  </si>
  <si>
    <t>D2</t>
  </si>
  <si>
    <t>E2</t>
  </si>
  <si>
    <t>F2</t>
  </si>
  <si>
    <t>订单编号</t>
  </si>
  <si>
    <t>G2</t>
  </si>
  <si>
    <t>产品名称</t>
  </si>
  <si>
    <t>H2</t>
  </si>
  <si>
    <t>子Asin</t>
  </si>
  <si>
    <t>I2</t>
  </si>
  <si>
    <t>Woot订单数量</t>
  </si>
  <si>
    <t>J2</t>
  </si>
  <si>
    <t>广告订单数量</t>
  </si>
  <si>
    <t>K2</t>
  </si>
  <si>
    <t>广告的转化率</t>
  </si>
  <si>
    <t>L2</t>
  </si>
  <si>
    <t>广告投入产出比</t>
  </si>
  <si>
    <t>M2</t>
  </si>
  <si>
    <t>广告花费</t>
  </si>
  <si>
    <t>N2</t>
  </si>
  <si>
    <t>广告单次点击花费</t>
  </si>
  <si>
    <t>O2</t>
  </si>
  <si>
    <t>展示数量</t>
  </si>
  <si>
    <t>P2</t>
  </si>
  <si>
    <t>点击数量</t>
  </si>
  <si>
    <t>Q2</t>
  </si>
  <si>
    <t>广告点击率</t>
  </si>
  <si>
    <t>R2</t>
  </si>
  <si>
    <t>广告销售额</t>
  </si>
  <si>
    <t>S2</t>
  </si>
  <si>
    <t>单个广告订单的费用</t>
  </si>
  <si>
    <t>T2</t>
  </si>
  <si>
    <t>单个订单的费用</t>
  </si>
  <si>
    <t>U2</t>
  </si>
  <si>
    <t>广告占比</t>
  </si>
  <si>
    <t>V2</t>
  </si>
  <si>
    <t>BSR1</t>
  </si>
  <si>
    <t>W2</t>
  </si>
  <si>
    <t>BSR2</t>
  </si>
  <si>
    <t>X2</t>
  </si>
  <si>
    <t>Viewable展示数量</t>
  </si>
  <si>
    <t>Y2</t>
  </si>
  <si>
    <t>千次展示花费</t>
  </si>
  <si>
    <t>Z2</t>
  </si>
  <si>
    <t>总销售额</t>
  </si>
  <si>
    <t>广告组合名称</t>
  </si>
  <si>
    <t>货币</t>
  </si>
  <si>
    <t>广告活动名称</t>
  </si>
  <si>
    <t>广告组名称</t>
  </si>
  <si>
    <t>Retailer</t>
  </si>
  <si>
    <t>广告SKU/VC-ASIN</t>
  </si>
  <si>
    <t>广告ASIN</t>
  </si>
  <si>
    <t>展示量</t>
  </si>
  <si>
    <t>点击量</t>
  </si>
  <si>
    <t>点击率(CTR)</t>
  </si>
  <si>
    <t>每次点击成本(CPC)</t>
  </si>
  <si>
    <t>花费</t>
  </si>
  <si>
    <t>7天总销售额</t>
  </si>
  <si>
    <t>广告成本销售比(ACoS)</t>
  </si>
  <si>
    <t>投入产出比(RoAS)</t>
  </si>
  <si>
    <t>7天总订单数(#)</t>
  </si>
  <si>
    <t>7天总销售量(#)</t>
  </si>
  <si>
    <t>7天的转化率</t>
  </si>
  <si>
    <t>7天内广告SKU销售量</t>
  </si>
  <si>
    <t>7天内其他SKU销售量</t>
  </si>
  <si>
    <t>7天内广告SKU销售额</t>
  </si>
  <si>
    <t>7天内其他SKU销售额</t>
  </si>
  <si>
    <t>费用类型</t>
  </si>
  <si>
    <t>竞价优化</t>
  </si>
  <si>
    <t>广告SKU</t>
  </si>
  <si>
    <t>可查看的展现量</t>
  </si>
  <si>
    <t>14 天商品详情页浏览量 (DPV)</t>
  </si>
  <si>
    <t>每 1,000 次可见展示次数的成本 (VCPM)</t>
  </si>
  <si>
    <t>广告成本销售比(ACOS)</t>
  </si>
  <si>
    <t>投入产出比(ROAS)</t>
  </si>
  <si>
    <t>14天总订单数(#)</t>
  </si>
  <si>
    <t>14天总销售量(#)</t>
  </si>
  <si>
    <t>14天总销售额</t>
  </si>
  <si>
    <t>14天内“品牌新买家”订单数量(#)</t>
  </si>
  <si>
    <t>14天内“品牌新买家”销售额</t>
  </si>
  <si>
    <t>14天内“品牌新买家”商品数量(#)</t>
  </si>
  <si>
    <t>广告投入产出比 (ACOS) 总计 -(点击)</t>
  </si>
  <si>
    <t>总广告投资回报率 (ROAS) -(点击)</t>
  </si>
  <si>
    <t>14 天内订单总量 (#) -(点击)</t>
  </si>
  <si>
    <t>14 天内已售商品总量 (#) -(点击)</t>
  </si>
  <si>
    <t>14 天内总销售额 -(点击)</t>
  </si>
  <si>
    <t>14 天内“品牌新客”订单数量 (#) -(点击)</t>
  </si>
  <si>
    <t>14 天内“品牌新客”销售额 -(点击)</t>
  </si>
  <si>
    <t>14 天内“品牌新客”已售商品数量 (#) -(点击)</t>
  </si>
  <si>
    <t>SKU/ASIN</t>
  </si>
  <si>
    <t>国家/地区</t>
  </si>
  <si>
    <t>14 天总订单数 (#)</t>
  </si>
  <si>
    <t>14天的转化率</t>
  </si>
  <si>
    <t>显示到达率 (VTR)</t>
  </si>
  <si>
    <t>浏览量点击率 (vCTR)</t>
  </si>
  <si>
    <t>第一四分位视频观看次数</t>
  </si>
  <si>
    <t>中点视频观看次数</t>
  </si>
  <si>
    <t>第三四分位视频观看次数</t>
  </si>
  <si>
    <t>完整视频观看次数</t>
  </si>
  <si>
    <t>视频取消静音</t>
  </si>
  <si>
    <t>5 秒观看次数</t>
  </si>
  <si>
    <t>5 秒观看率</t>
  </si>
  <si>
    <t>14 天内品牌搜索量</t>
  </si>
  <si>
    <t>14天内“品牌新买家”订单百分比</t>
  </si>
  <si>
    <t>14天内“品牌新买家”销售额百分比</t>
  </si>
  <si>
    <t>14天内“品牌新买家”商品数量百分比</t>
  </si>
  <si>
    <t>14天内“品牌新买家”订单率</t>
  </si>
  <si>
    <t>广告投入产出比 (ACOS) 总计 -（点击）</t>
  </si>
  <si>
    <t>总广告投资回报率 (ROAS) -（点击）</t>
  </si>
  <si>
    <t>14 天内总销售额 -（点击）</t>
  </si>
  <si>
    <t>14 天内订单总量 (#) -（点击）</t>
  </si>
  <si>
    <t>14 天内已售商品总量 (#) -（点击）</t>
  </si>
  <si>
    <t>品牌新客商品详情页浏览量</t>
  </si>
  <si>
    <t>品牌新客商品详情页浏览点击转化量</t>
  </si>
  <si>
    <t>品牌新客商品详情页浏览率</t>
  </si>
  <si>
    <t>单次品牌新客商品详情页浏览有效成本</t>
  </si>
  <si>
    <t>14 天 ATC</t>
  </si>
  <si>
    <t>14 天 ATC 点击次数</t>
  </si>
  <si>
    <t>14 天 ATCR</t>
  </si>
  <si>
    <t>AY1</t>
  </si>
  <si>
    <t>单击加入购物车有效成本 (eCPATC)</t>
  </si>
  <si>
    <t>AZ1</t>
  </si>
  <si>
    <t>品牌搜索点击转化量</t>
  </si>
  <si>
    <t>BA1</t>
  </si>
  <si>
    <t>品牌搜索率</t>
  </si>
  <si>
    <t>BB1</t>
  </si>
  <si>
    <t>单次品牌搜索有效成本</t>
  </si>
  <si>
    <t>BC1</t>
  </si>
  <si>
    <t>Long-Term Sales</t>
  </si>
  <si>
    <t>BD1</t>
  </si>
  <si>
    <t>Long-Term ROAS</t>
  </si>
  <si>
    <t>站点</t>
  </si>
  <si>
    <t>型号</t>
  </si>
  <si>
    <t>SKU</t>
  </si>
  <si>
    <t>ASIN</t>
  </si>
  <si>
    <t>品牌</t>
  </si>
  <si>
    <t>备注</t>
  </si>
  <si>
    <t>年份</t>
  </si>
  <si>
    <t>退货</t>
  </si>
  <si>
    <t>SCP0</t>
  </si>
  <si>
    <t>WTP0</t>
  </si>
  <si>
    <t>VCP0</t>
  </si>
  <si>
    <t>变SCP0</t>
  </si>
  <si>
    <t>价格</t>
  </si>
  <si>
    <t>广告数据汇总</t>
  </si>
  <si>
    <t>广告明细</t>
  </si>
  <si>
    <t>月份</t>
  </si>
  <si>
    <t>ZS-56AI-01ZJ</t>
  </si>
  <si>
    <t>B0FC6N29Y5</t>
  </si>
  <si>
    <t>WOOT广告数据汇总</t>
  </si>
  <si>
    <t>大类
排名</t>
  </si>
  <si>
    <t>小类
排名</t>
  </si>
  <si>
    <t>KW
(Laser)自然位</t>
  </si>
  <si>
    <t>划线价/
VC LP</t>
  </si>
  <si>
    <t>成交
价</t>
  </si>
  <si>
    <t>评论
星级</t>
  </si>
  <si>
    <t>新差
评</t>
  </si>
  <si>
    <t>销量
转化率</t>
  </si>
  <si>
    <t>测评
单量</t>
  </si>
  <si>
    <t>WT
单量</t>
  </si>
  <si>
    <t>父体
单量</t>
  </si>
  <si>
    <t>测评
费用
US$</t>
  </si>
  <si>
    <t>SC
广告
利润$</t>
  </si>
  <si>
    <t>SC
利润
US$</t>
  </si>
  <si>
    <t>SC
毛利
率</t>
  </si>
  <si>
    <t>WT
广告利润$</t>
  </si>
  <si>
    <t>WT
利润
US$</t>
  </si>
  <si>
    <t>SC
变体
利润$</t>
  </si>
  <si>
    <t>VC
变体
利润$</t>
  </si>
  <si>
    <t>总
利润
US$</t>
  </si>
  <si>
    <t>总
毛利
率</t>
  </si>
  <si>
    <t>父体
单个
毛利</t>
  </si>
  <si>
    <t>总T
ACOS</t>
  </si>
  <si>
    <t>广告
CVR</t>
  </si>
  <si>
    <t>广告单
占比</t>
  </si>
  <si>
    <t>AD
单</t>
  </si>
  <si>
    <t>-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</si>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</sst>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  <numFmt numFmtId="178" formatCode="0.00_ "/>
    <numFmt numFmtId="179" formatCode="yyyy/m/d;@"/>
    <numFmt numFmtId="180" formatCode="0_);[Red]\(0\)"/>
    <numFmt numFmtId="181" formatCode="0_);\(0\)"/>
    <numFmt numFmtId="182" formatCode="\$#,##0;\-\$#,##0"/>
    <numFmt numFmtId="183" formatCode="\$#,##0.0;\-\$#,##0.0"/>
    <numFmt numFmtId="184" formatCode="0.00_);[Red]\(0.00\)"/>
  </numFmts>
  <fonts count="4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b/>
      <sz val="11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9.5"/>
      <color rgb="FF000000"/>
      <name val="微软雅黑"/>
      <charset val="134"/>
    </font>
    <font>
      <b/>
      <sz val="9"/>
      <color rgb="FF000000"/>
      <name val="微软雅黑"/>
      <charset val="134"/>
    </font>
    <font>
      <b/>
      <sz val="8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417FF9"/>
      <name val="微软雅黑"/>
      <charset val="134"/>
    </font>
    <font>
      <sz val="10"/>
      <color rgb="FF000000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b/>
      <sz val="7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6"/>
      <color rgb="FF000000"/>
      <name val="微软雅黑"/>
      <charset val="134"/>
    </font>
    <font>
      <b/>
      <sz val="9"/>
      <color rgb="FFFFFFFF"/>
      <name val="微软雅黑"/>
      <charset val="134"/>
    </font>
    <font>
      <b/>
      <sz val="18"/>
      <color rgb="FFFFFFFF"/>
      <name val="微软雅黑"/>
      <charset val="134"/>
    </font>
    <font>
      <b/>
      <sz val="6"/>
      <color rgb="FF1B1BFB"/>
      <name val="微软雅黑"/>
      <charset val="134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3B608D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dotted">
        <color auto="1"/>
      </bottom>
      <diagonal/>
    </border>
    <border>
      <left/>
      <right style="thin">
        <color rgb="FFFFFFFF"/>
      </right>
      <top/>
      <bottom style="dotted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auto="1"/>
      </bottom>
      <diagonal/>
    </border>
    <border>
      <left/>
      <right style="thin">
        <color rgb="FFFFFFFF"/>
      </right>
      <top style="thin">
        <color rgb="FFFFFFFF"/>
      </top>
      <bottom style="dotted">
        <color auto="1"/>
      </bottom>
      <diagonal/>
    </border>
    <border>
      <left style="thin">
        <color rgb="FFFFFFFF"/>
      </left>
      <right/>
      <top style="thin">
        <color rgb="FFFFFFFF"/>
      </top>
      <bottom style="medium">
        <color rgb="FF2B2B2B"/>
      </bottom>
      <diagonal/>
    </border>
    <border>
      <left style="thin">
        <color rgb="FFFFFFFF"/>
      </left>
      <right/>
      <top/>
      <bottom style="dotted">
        <color rgb="FF2B2B2B"/>
      </bottom>
      <diagonal/>
    </border>
    <border>
      <left/>
      <right/>
      <top/>
      <bottom style="dotted">
        <color auto="1"/>
      </bottom>
      <diagonal/>
    </border>
    <border>
      <left style="thin">
        <color rgb="FFFFFFFF"/>
      </left>
      <right/>
      <top style="thin">
        <color rgb="FFFFFFFF"/>
      </top>
      <bottom style="dotted">
        <color rgb="FF2B2B2B"/>
      </bottom>
      <diagonal/>
    </border>
    <border>
      <left/>
      <right/>
      <top style="thin">
        <color rgb="FFFFFFFF"/>
      </top>
      <bottom style="dotted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2B2B2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2B2B2B"/>
      </top>
      <bottom style="thin">
        <color rgb="FFFFFFFF"/>
      </bottom>
      <diagonal/>
    </border>
    <border>
      <left style="thin">
        <color rgb="FF2B2B2B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auto="1"/>
      </right>
      <top style="thin">
        <color rgb="FF2B2B2B"/>
      </top>
      <bottom/>
      <diagonal/>
    </border>
    <border>
      <left style="thin">
        <color rgb="FFFFFFFF"/>
      </left>
      <right style="thin">
        <color rgb="FF2B2B2B"/>
      </right>
      <top style="thin">
        <color rgb="FFFFFFFF"/>
      </top>
      <bottom style="dotted">
        <color rgb="FF000000"/>
      </bottom>
      <diagonal/>
    </border>
    <border>
      <left style="medium">
        <color rgb="FF2B2B2B"/>
      </left>
      <right/>
      <top style="dotted">
        <color rgb="FF2B2B2B"/>
      </top>
      <bottom style="dotted">
        <color rgb="FF2B2B2B"/>
      </bottom>
      <diagonal/>
    </border>
    <border>
      <left style="medium">
        <color rgb="FF2B2B2B"/>
      </left>
      <right/>
      <top style="dotted">
        <color rgb="FF2B2B2B"/>
      </top>
      <bottom style="thin">
        <color rgb="FF2B2B2B"/>
      </bottom>
      <diagonal/>
    </border>
    <border>
      <left style="thin">
        <color rgb="FFFFFFFF"/>
      </left>
      <right style="medium">
        <color rgb="FF2B2B2B"/>
      </right>
      <top style="thin">
        <color rgb="FFFFFFFF"/>
      </top>
      <bottom style="medium">
        <color rgb="FF2B2B2B"/>
      </bottom>
      <diagonal/>
    </border>
    <border>
      <left style="medium">
        <color rgb="FF2B2B2B"/>
      </left>
      <right style="thin">
        <color rgb="FF2B2B2B"/>
      </right>
      <top style="thin">
        <color rgb="FFFFFFFF"/>
      </top>
      <bottom style="medium">
        <color rgb="FF2B2B2B"/>
      </bottom>
      <diagonal/>
    </border>
    <border>
      <left style="thin">
        <color rgb="FFFFFFFF"/>
      </left>
      <right style="thin">
        <color rgb="FFFFFFFF"/>
      </right>
      <top/>
      <bottom style="medium">
        <color rgb="FF2B2B2B"/>
      </bottom>
      <diagonal/>
    </border>
    <border>
      <left style="thin">
        <color auto="1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auto="1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auto="1"/>
      </left>
      <right/>
      <top/>
      <bottom style="thin">
        <color rgb="FFFFFFFF"/>
      </bottom>
      <diagonal/>
    </border>
    <border>
      <left style="thin">
        <color rgb="FFFFFFFF"/>
      </left>
      <right/>
      <top/>
      <bottom style="medium">
        <color rgb="FF2B2B2B"/>
      </bottom>
      <diagonal/>
    </border>
    <border>
      <left style="thin">
        <color rgb="FFFFFFFF"/>
      </left>
      <right style="thin">
        <color auto="1"/>
      </right>
      <top/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2B2B2B"/>
      </top>
      <bottom style="thin">
        <color rgb="FF2B2B2B"/>
      </bottom>
      <diagonal/>
    </border>
    <border>
      <left/>
      <right style="thin">
        <color auto="1"/>
      </right>
      <top style="thin">
        <color rgb="FF2B2B2B"/>
      </top>
      <bottom style="thin">
        <color rgb="FF2B2B2B"/>
      </bottom>
      <diagonal/>
    </border>
    <border>
      <left style="thin">
        <color rgb="FFFFFFFF"/>
      </left>
      <right/>
      <top style="thin">
        <color rgb="FFFFFFFF"/>
      </top>
      <bottom style="dotted">
        <color auto="1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auto="1"/>
      </left>
      <right style="thin">
        <color auto="1"/>
      </right>
      <top style="thin">
        <color rgb="FF2B2B2B"/>
      </top>
      <bottom style="thin">
        <color rgb="FF2B2B2B"/>
      </bottom>
      <diagonal/>
    </border>
    <border>
      <left/>
      <right/>
      <top style="thin">
        <color rgb="FFFFFFFF"/>
      </top>
      <bottom style="dotted">
        <color rgb="FF2B2B2B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medium">
        <color rgb="FF2B2B2B"/>
      </bottom>
      <diagonal/>
    </border>
    <border>
      <left style="dotted">
        <color rgb="FF2B2B2B"/>
      </left>
      <right style="dotted">
        <color rgb="FF2B2B2B"/>
      </right>
      <top style="thin">
        <color rgb="FFFFFFFF"/>
      </top>
      <bottom style="dotted">
        <color rgb="FF2B2B2B"/>
      </bottom>
      <diagonal/>
    </border>
    <border>
      <left style="dotted">
        <color rgb="FF2B2B2B"/>
      </left>
      <right style="dotted">
        <color rgb="FF2B2B2B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 style="thin">
        <color rgb="FFFFFFFF"/>
      </top>
      <bottom style="dotted">
        <color rgb="FF2B2B2B"/>
      </bottom>
      <diagonal/>
    </border>
    <border>
      <left style="thin">
        <color rgb="FFFFFFFF"/>
      </left>
      <right style="thin">
        <color rgb="FFFFFFFF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FFFFFF"/>
      </right>
      <top/>
      <bottom style="thin">
        <color rgb="FFFFFFFF"/>
      </bottom>
      <diagonal/>
    </border>
    <border>
      <left style="thin">
        <color rgb="FF2B2B2B"/>
      </left>
      <right style="thin">
        <color rgb="FFFFFFFF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FFFFFF"/>
      </right>
      <top style="thin">
        <color rgb="FFFFFFFF"/>
      </top>
      <bottom style="medium">
        <color rgb="FF2B2B2B"/>
      </bottom>
      <diagonal/>
    </border>
    <border>
      <left style="thin">
        <color rgb="FFFFFFFF"/>
      </left>
      <right style="medium">
        <color rgb="FF2B2B2B"/>
      </right>
      <top/>
      <bottom style="thin">
        <color rgb="FFFFFFFF"/>
      </bottom>
      <diagonal/>
    </border>
    <border>
      <left style="thin">
        <color rgb="FFFFFFFF"/>
      </left>
      <right style="medium">
        <color rgb="FF2B2B2B"/>
      </right>
      <top style="thin">
        <color rgb="FF2B2B2B"/>
      </top>
      <bottom style="thin">
        <color rgb="FF2B2B2B"/>
      </bottom>
      <diagonal/>
    </border>
    <border>
      <left style="dotted">
        <color rgb="FF2B2B2B"/>
      </left>
      <right style="medium">
        <color rgb="FF2B2B2B"/>
      </right>
      <top style="thin">
        <color rgb="FFFFFFFF"/>
      </top>
      <bottom style="dotted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5" borderId="5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60" applyNumberFormat="0" applyFill="0" applyAlignment="0" applyProtection="0">
      <alignment vertical="center"/>
    </xf>
    <xf numFmtId="0" fontId="31" fillId="0" borderId="60" applyNumberFormat="0" applyFill="0" applyAlignment="0" applyProtection="0">
      <alignment vertical="center"/>
    </xf>
    <xf numFmtId="0" fontId="32" fillId="0" borderId="6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6" borderId="62" applyNumberFormat="0" applyAlignment="0" applyProtection="0">
      <alignment vertical="center"/>
    </xf>
    <xf numFmtId="0" fontId="34" fillId="17" borderId="63" applyNumberFormat="0" applyAlignment="0" applyProtection="0">
      <alignment vertical="center"/>
    </xf>
    <xf numFmtId="0" fontId="35" fillId="17" borderId="62" applyNumberFormat="0" applyAlignment="0" applyProtection="0">
      <alignment vertical="center"/>
    </xf>
    <xf numFmtId="0" fontId="36" fillId="18" borderId="64" applyNumberFormat="0" applyAlignment="0" applyProtection="0">
      <alignment vertical="center"/>
    </xf>
    <xf numFmtId="0" fontId="37" fillId="0" borderId="65" applyNumberFormat="0" applyFill="0" applyAlignment="0" applyProtection="0">
      <alignment vertical="center"/>
    </xf>
    <xf numFmtId="0" fontId="38" fillId="0" borderId="66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</cellStyleXfs>
  <cellXfs count="18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9" fontId="1" fillId="0" borderId="0" xfId="0" applyNumberFormat="1" applyFont="1" applyFill="1" applyAlignment="1">
      <alignment vertical="center"/>
    </xf>
    <xf numFmtId="9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9" fontId="5" fillId="3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left" vertical="center"/>
    </xf>
    <xf numFmtId="177" fontId="7" fillId="0" borderId="6" xfId="0" applyNumberFormat="1" applyFont="1" applyFill="1" applyBorder="1" applyAlignment="1">
      <alignment horizontal="center" vertical="center"/>
    </xf>
    <xf numFmtId="177" fontId="5" fillId="0" borderId="7" xfId="0" applyNumberFormat="1" applyFont="1" applyFill="1" applyBorder="1" applyAlignment="1">
      <alignment horizontal="center" vertical="center"/>
    </xf>
    <xf numFmtId="177" fontId="7" fillId="0" borderId="8" xfId="0" applyNumberFormat="1" applyFont="1" applyFill="1" applyBorder="1" applyAlignment="1">
      <alignment horizontal="center" vertical="center"/>
    </xf>
    <xf numFmtId="177" fontId="5" fillId="0" borderId="9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9" fontId="9" fillId="0" borderId="2" xfId="0" applyNumberFormat="1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178" fontId="5" fillId="0" borderId="7" xfId="0" applyNumberFormat="1" applyFont="1" applyFill="1" applyBorder="1" applyAlignment="1">
      <alignment horizontal="center" vertical="center"/>
    </xf>
    <xf numFmtId="0" fontId="6" fillId="0" borderId="12" xfId="0" applyNumberFormat="1" applyFont="1" applyFill="1" applyBorder="1" applyAlignment="1">
      <alignment horizontal="center" vertical="center"/>
    </xf>
    <xf numFmtId="177" fontId="5" fillId="0" borderId="13" xfId="0" applyNumberFormat="1" applyFont="1" applyFill="1" applyBorder="1" applyAlignment="1">
      <alignment horizontal="center" vertical="center"/>
    </xf>
    <xf numFmtId="178" fontId="5" fillId="0" borderId="9" xfId="0" applyNumberFormat="1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9" fontId="9" fillId="0" borderId="2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4" fillId="2" borderId="16" xfId="0" applyNumberFormat="1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NumberFormat="1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21" xfId="0" applyNumberFormat="1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 wrapText="1"/>
    </xf>
    <xf numFmtId="0" fontId="5" fillId="3" borderId="25" xfId="0" applyNumberFormat="1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/>
    </xf>
    <xf numFmtId="14" fontId="12" fillId="0" borderId="27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14" fontId="5" fillId="0" borderId="27" xfId="0" applyNumberFormat="1" applyFont="1" applyFill="1" applyBorder="1" applyAlignment="1">
      <alignment horizontal="center" vertical="center"/>
    </xf>
    <xf numFmtId="14" fontId="5" fillId="0" borderId="28" xfId="0" applyNumberFormat="1" applyFont="1" applyFill="1" applyBorder="1" applyAlignment="1">
      <alignment horizontal="center" vertical="center"/>
    </xf>
    <xf numFmtId="9" fontId="8" fillId="4" borderId="29" xfId="0" applyNumberFormat="1" applyFont="1" applyFill="1" applyBorder="1" applyAlignment="1">
      <alignment horizontal="center" vertical="center"/>
    </xf>
    <xf numFmtId="14" fontId="8" fillId="3" borderId="30" xfId="0" applyNumberFormat="1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9" fontId="13" fillId="0" borderId="2" xfId="0" applyNumberFormat="1" applyFont="1" applyFill="1" applyBorder="1" applyAlignment="1">
      <alignment horizontal="center" vertical="center"/>
    </xf>
    <xf numFmtId="179" fontId="14" fillId="0" borderId="2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0" fontId="5" fillId="0" borderId="5" xfId="0" applyNumberFormat="1" applyFont="1" applyFill="1" applyBorder="1" applyAlignment="1">
      <alignment horizontal="center" vertical="center"/>
    </xf>
    <xf numFmtId="177" fontId="5" fillId="0" borderId="5" xfId="0" applyNumberFormat="1" applyFont="1" applyFill="1" applyBorder="1" applyAlignment="1">
      <alignment horizontal="center" vertical="center"/>
    </xf>
    <xf numFmtId="10" fontId="8" fillId="4" borderId="31" xfId="0" applyNumberFormat="1" applyFont="1" applyFill="1" applyBorder="1" applyAlignment="1">
      <alignment horizontal="center" vertical="center"/>
    </xf>
    <xf numFmtId="177" fontId="8" fillId="4" borderId="31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180" fontId="5" fillId="0" borderId="5" xfId="0" applyNumberFormat="1" applyFont="1" applyFill="1" applyBorder="1" applyAlignment="1">
      <alignment horizontal="center" vertical="center"/>
    </xf>
    <xf numFmtId="177" fontId="16" fillId="4" borderId="31" xfId="0" applyNumberFormat="1" applyFont="1" applyFill="1" applyBorder="1" applyAlignment="1">
      <alignment horizontal="center" vertical="center"/>
    </xf>
    <xf numFmtId="177" fontId="8" fillId="4" borderId="37" xfId="0" applyNumberFormat="1" applyFont="1" applyFill="1" applyBorder="1" applyAlignment="1">
      <alignment horizontal="center" vertical="center"/>
    </xf>
    <xf numFmtId="177" fontId="16" fillId="4" borderId="37" xfId="0" applyNumberFormat="1" applyFont="1" applyFill="1" applyBorder="1" applyAlignment="1">
      <alignment horizontal="center" vertical="center"/>
    </xf>
    <xf numFmtId="9" fontId="15" fillId="0" borderId="2" xfId="0" applyNumberFormat="1" applyFont="1" applyFill="1" applyBorder="1" applyAlignment="1">
      <alignment horizontal="center" vertical="center"/>
    </xf>
    <xf numFmtId="178" fontId="17" fillId="2" borderId="0" xfId="0" applyNumberFormat="1" applyFont="1" applyFill="1" applyAlignment="1">
      <alignment horizontal="center" vertical="center"/>
    </xf>
    <xf numFmtId="9" fontId="17" fillId="2" borderId="5" xfId="0" applyNumberFormat="1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9" fontId="5" fillId="5" borderId="39" xfId="0" applyNumberFormat="1" applyFont="1" applyFill="1" applyBorder="1" applyAlignment="1">
      <alignment horizontal="center" vertical="center" wrapText="1"/>
    </xf>
    <xf numFmtId="9" fontId="5" fillId="5" borderId="40" xfId="0" applyNumberFormat="1" applyFont="1" applyFill="1" applyBorder="1" applyAlignment="1">
      <alignment horizontal="center" vertical="center" wrapText="1"/>
    </xf>
    <xf numFmtId="180" fontId="5" fillId="0" borderId="41" xfId="0" applyNumberFormat="1" applyFont="1" applyFill="1" applyBorder="1" applyAlignment="1">
      <alignment horizontal="center" vertical="center"/>
    </xf>
    <xf numFmtId="181" fontId="5" fillId="0" borderId="14" xfId="0" applyNumberFormat="1" applyFont="1" applyFill="1" applyBorder="1" applyAlignment="1">
      <alignment horizontal="center" vertical="center"/>
    </xf>
    <xf numFmtId="180" fontId="5" fillId="0" borderId="14" xfId="0" applyNumberFormat="1" applyFont="1" applyFill="1" applyBorder="1" applyAlignment="1">
      <alignment horizontal="center" vertical="center"/>
    </xf>
    <xf numFmtId="9" fontId="5" fillId="0" borderId="14" xfId="0" applyNumberFormat="1" applyFont="1" applyFill="1" applyBorder="1" applyAlignment="1">
      <alignment horizontal="center" vertical="center"/>
    </xf>
    <xf numFmtId="180" fontId="5" fillId="0" borderId="42" xfId="0" applyNumberFormat="1" applyFont="1" applyFill="1" applyBorder="1" applyAlignment="1">
      <alignment horizontal="center" vertical="center"/>
    </xf>
    <xf numFmtId="181" fontId="5" fillId="0" borderId="20" xfId="0" applyNumberFormat="1" applyFont="1" applyFill="1" applyBorder="1" applyAlignment="1">
      <alignment horizontal="center" vertical="center"/>
    </xf>
    <xf numFmtId="180" fontId="5" fillId="0" borderId="20" xfId="0" applyNumberFormat="1" applyFont="1" applyFill="1" applyBorder="1" applyAlignment="1">
      <alignment horizontal="center" vertical="center"/>
    </xf>
    <xf numFmtId="9" fontId="5" fillId="0" borderId="33" xfId="0" applyNumberFormat="1" applyFont="1" applyFill="1" applyBorder="1" applyAlignment="1">
      <alignment horizontal="center" vertical="center"/>
    </xf>
    <xf numFmtId="177" fontId="16" fillId="4" borderId="10" xfId="0" applyNumberFormat="1" applyFont="1" applyFill="1" applyBorder="1" applyAlignment="1">
      <alignment horizontal="center" vertical="center"/>
    </xf>
    <xf numFmtId="177" fontId="8" fillId="4" borderId="10" xfId="0" applyNumberFormat="1" applyFont="1" applyFill="1" applyBorder="1" applyAlignment="1">
      <alignment horizontal="center" vertical="center"/>
    </xf>
    <xf numFmtId="9" fontId="8" fillId="4" borderId="31" xfId="0" applyNumberFormat="1" applyFont="1" applyFill="1" applyBorder="1" applyAlignment="1">
      <alignment horizontal="center" vertical="center"/>
    </xf>
    <xf numFmtId="9" fontId="9" fillId="0" borderId="23" xfId="0" applyNumberFormat="1" applyFont="1" applyFill="1" applyBorder="1" applyAlignment="1">
      <alignment horizontal="center" vertical="center"/>
    </xf>
    <xf numFmtId="180" fontId="18" fillId="0" borderId="23" xfId="0" applyNumberFormat="1" applyFont="1" applyFill="1" applyBorder="1" applyAlignment="1">
      <alignment horizontal="center" vertical="center"/>
    </xf>
    <xf numFmtId="180" fontId="8" fillId="0" borderId="23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8" fontId="19" fillId="2" borderId="0" xfId="0" applyNumberFormat="1" applyFont="1" applyFill="1" applyAlignment="1">
      <alignment horizontal="left" vertical="center"/>
    </xf>
    <xf numFmtId="0" fontId="19" fillId="2" borderId="0" xfId="0" applyFont="1" applyFill="1" applyAlignment="1">
      <alignment vertical="center"/>
    </xf>
    <xf numFmtId="0" fontId="17" fillId="2" borderId="5" xfId="0" applyFont="1" applyFill="1" applyBorder="1" applyAlignment="1">
      <alignment horizontal="center" vertical="center"/>
    </xf>
    <xf numFmtId="182" fontId="17" fillId="2" borderId="5" xfId="0" applyNumberFormat="1" applyFont="1" applyFill="1" applyBorder="1" applyAlignment="1">
      <alignment horizontal="center" vertical="center"/>
    </xf>
    <xf numFmtId="183" fontId="17" fillId="2" borderId="5" xfId="0" applyNumberFormat="1" applyFont="1" applyFill="1" applyBorder="1" applyAlignment="1">
      <alignment horizontal="center" vertical="center"/>
    </xf>
    <xf numFmtId="181" fontId="5" fillId="0" borderId="33" xfId="0" applyNumberFormat="1" applyFont="1" applyFill="1" applyBorder="1" applyAlignment="1">
      <alignment horizontal="center" vertical="center"/>
    </xf>
    <xf numFmtId="180" fontId="5" fillId="0" borderId="33" xfId="0" applyNumberFormat="1" applyFont="1" applyFill="1" applyBorder="1" applyAlignment="1">
      <alignment horizontal="center" vertical="center"/>
    </xf>
    <xf numFmtId="9" fontId="7" fillId="0" borderId="2" xfId="0" applyNumberFormat="1" applyFont="1" applyFill="1" applyBorder="1" applyAlignment="1">
      <alignment horizontal="center" vertical="center"/>
    </xf>
    <xf numFmtId="9" fontId="7" fillId="0" borderId="23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>
      <alignment vertical="center"/>
    </xf>
    <xf numFmtId="0" fontId="20" fillId="2" borderId="0" xfId="0" applyFont="1" applyFill="1" applyAlignment="1">
      <alignment horizontal="center" vertical="center"/>
    </xf>
    <xf numFmtId="184" fontId="19" fillId="2" borderId="22" xfId="0" applyNumberFormat="1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5" fillId="5" borderId="44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180" fontId="5" fillId="0" borderId="9" xfId="0" applyNumberFormat="1" applyFont="1" applyFill="1" applyBorder="1" applyAlignment="1">
      <alignment horizontal="center" vertical="center"/>
    </xf>
    <xf numFmtId="9" fontId="5" fillId="0" borderId="45" xfId="0" applyNumberFormat="1" applyFont="1" applyFill="1" applyBorder="1" applyAlignment="1">
      <alignment horizontal="center" vertical="center"/>
    </xf>
    <xf numFmtId="9" fontId="5" fillId="0" borderId="20" xfId="0" applyNumberFormat="1" applyFont="1" applyFill="1" applyBorder="1" applyAlignment="1">
      <alignment horizontal="center" vertical="center"/>
    </xf>
    <xf numFmtId="180" fontId="5" fillId="0" borderId="46" xfId="0" applyNumberFormat="1" applyFont="1" applyFill="1" applyBorder="1" applyAlignment="1">
      <alignment horizontal="center" vertical="center"/>
    </xf>
    <xf numFmtId="9" fontId="8" fillId="4" borderId="47" xfId="0" applyNumberFormat="1" applyFont="1" applyFill="1" applyBorder="1" applyAlignment="1">
      <alignment horizontal="center" vertical="center"/>
    </xf>
    <xf numFmtId="180" fontId="21" fillId="0" borderId="23" xfId="0" applyNumberFormat="1" applyFont="1" applyFill="1" applyBorder="1" applyAlignment="1">
      <alignment horizontal="center" vertical="center"/>
    </xf>
    <xf numFmtId="0" fontId="5" fillId="0" borderId="48" xfId="0" applyNumberFormat="1" applyFont="1" applyFill="1" applyBorder="1" applyAlignment="1">
      <alignment horizontal="center" vertical="center"/>
    </xf>
    <xf numFmtId="9" fontId="5" fillId="0" borderId="48" xfId="0" applyNumberFormat="1" applyFont="1" applyFill="1" applyBorder="1" applyAlignment="1">
      <alignment horizontal="center" vertical="center"/>
    </xf>
    <xf numFmtId="178" fontId="5" fillId="0" borderId="48" xfId="0" applyNumberFormat="1" applyFont="1" applyFill="1" applyBorder="1" applyAlignment="1">
      <alignment horizontal="center" vertical="center"/>
    </xf>
    <xf numFmtId="0" fontId="5" fillId="0" borderId="49" xfId="0" applyNumberFormat="1" applyFont="1" applyFill="1" applyBorder="1" applyAlignment="1">
      <alignment horizontal="center" vertical="center"/>
    </xf>
    <xf numFmtId="9" fontId="5" fillId="0" borderId="49" xfId="0" applyNumberFormat="1" applyFont="1" applyFill="1" applyBorder="1" applyAlignment="1">
      <alignment horizontal="center" vertical="center"/>
    </xf>
    <xf numFmtId="178" fontId="5" fillId="0" borderId="49" xfId="0" applyNumberFormat="1" applyFont="1" applyFill="1" applyBorder="1" applyAlignment="1">
      <alignment horizontal="center" vertical="center"/>
    </xf>
    <xf numFmtId="184" fontId="8" fillId="4" borderId="31" xfId="0" applyNumberFormat="1" applyFont="1" applyFill="1" applyBorder="1" applyAlignment="1">
      <alignment horizontal="center" vertical="center"/>
    </xf>
    <xf numFmtId="10" fontId="7" fillId="0" borderId="14" xfId="0" applyNumberFormat="1" applyFont="1" applyFill="1" applyBorder="1" applyAlignment="1">
      <alignment horizontal="center" vertical="center"/>
    </xf>
    <xf numFmtId="10" fontId="7" fillId="0" borderId="33" xfId="0" applyNumberFormat="1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177" fontId="5" fillId="0" borderId="48" xfId="0" applyNumberFormat="1" applyFont="1" applyFill="1" applyBorder="1" applyAlignment="1">
      <alignment horizontal="center" vertical="center"/>
    </xf>
    <xf numFmtId="9" fontId="5" fillId="0" borderId="51" xfId="0" applyNumberFormat="1" applyFont="1" applyFill="1" applyBorder="1" applyAlignment="1">
      <alignment horizontal="center" vertical="center"/>
    </xf>
    <xf numFmtId="177" fontId="5" fillId="0" borderId="49" xfId="0" applyNumberFormat="1" applyFont="1" applyFill="1" applyBorder="1" applyAlignment="1">
      <alignment horizontal="center" vertical="center"/>
    </xf>
    <xf numFmtId="9" fontId="8" fillId="4" borderId="15" xfId="0" applyNumberFormat="1" applyFont="1" applyFill="1" applyBorder="1" applyAlignment="1">
      <alignment horizontal="center" vertical="center"/>
    </xf>
    <xf numFmtId="177" fontId="8" fillId="4" borderId="15" xfId="0" applyNumberFormat="1" applyFont="1" applyFill="1" applyBorder="1" applyAlignment="1">
      <alignment horizontal="center" vertical="center"/>
    </xf>
    <xf numFmtId="184" fontId="8" fillId="4" borderId="15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right" vertical="center"/>
    </xf>
    <xf numFmtId="9" fontId="5" fillId="5" borderId="52" xfId="0" applyNumberFormat="1" applyFont="1" applyFill="1" applyBorder="1" applyAlignment="1">
      <alignment horizontal="center" vertical="center" wrapText="1"/>
    </xf>
    <xf numFmtId="10" fontId="7" fillId="0" borderId="48" xfId="0" applyNumberFormat="1" applyFont="1" applyFill="1" applyBorder="1" applyAlignment="1">
      <alignment horizontal="center" vertical="center"/>
    </xf>
    <xf numFmtId="10" fontId="8" fillId="4" borderId="15" xfId="0" applyNumberFormat="1" applyFont="1" applyFill="1" applyBorder="1" applyAlignment="1">
      <alignment horizontal="center" vertical="center"/>
    </xf>
    <xf numFmtId="0" fontId="20" fillId="2" borderId="0" xfId="0" applyNumberFormat="1" applyFont="1" applyFill="1" applyAlignment="1">
      <alignment horizontal="center" vertical="center"/>
    </xf>
    <xf numFmtId="0" fontId="9" fillId="3" borderId="5" xfId="0" applyNumberFormat="1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5" fillId="3" borderId="44" xfId="0" applyNumberFormat="1" applyFont="1" applyFill="1" applyBorder="1" applyAlignment="1">
      <alignment horizontal="center" vertical="center" wrapText="1"/>
    </xf>
    <xf numFmtId="176" fontId="5" fillId="3" borderId="44" xfId="0" applyNumberFormat="1" applyFont="1" applyFill="1" applyBorder="1" applyAlignment="1">
      <alignment horizontal="center" vertical="center" wrapText="1"/>
    </xf>
    <xf numFmtId="0" fontId="5" fillId="0" borderId="54" xfId="0" applyFont="1" applyFill="1" applyBorder="1" applyAlignment="1">
      <alignment horizontal="center" vertical="center" wrapText="1"/>
    </xf>
    <xf numFmtId="180" fontId="5" fillId="0" borderId="48" xfId="0" applyNumberFormat="1" applyFont="1" applyFill="1" applyBorder="1" applyAlignment="1">
      <alignment horizontal="center" vertical="center"/>
    </xf>
    <xf numFmtId="0" fontId="8" fillId="4" borderId="55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 wrapText="1"/>
    </xf>
    <xf numFmtId="10" fontId="5" fillId="0" borderId="48" xfId="0" applyNumberFormat="1" applyFont="1" applyFill="1" applyBorder="1" applyAlignment="1">
      <alignment horizontal="center" vertical="center"/>
    </xf>
    <xf numFmtId="178" fontId="8" fillId="4" borderId="15" xfId="0" applyNumberFormat="1" applyFont="1" applyFill="1" applyBorder="1" applyAlignment="1">
      <alignment horizontal="center" vertical="center"/>
    </xf>
    <xf numFmtId="176" fontId="9" fillId="0" borderId="23" xfId="0" applyNumberFormat="1" applyFont="1" applyFill="1" applyBorder="1" applyAlignment="1">
      <alignment horizontal="center" vertical="center"/>
    </xf>
    <xf numFmtId="9" fontId="9" fillId="0" borderId="56" xfId="0" applyNumberFormat="1" applyFont="1" applyFill="1" applyBorder="1" applyAlignment="1">
      <alignment horizontal="center" vertical="center"/>
    </xf>
    <xf numFmtId="176" fontId="5" fillId="0" borderId="52" xfId="0" applyNumberFormat="1" applyFont="1" applyFill="1" applyBorder="1" applyAlignment="1">
      <alignment horizontal="center" vertical="center" wrapText="1"/>
    </xf>
    <xf numFmtId="9" fontId="5" fillId="0" borderId="57" xfId="0" applyNumberFormat="1" applyFont="1" applyFill="1" applyBorder="1" applyAlignment="1">
      <alignment horizontal="center" vertical="center" wrapText="1"/>
    </xf>
    <xf numFmtId="176" fontId="5" fillId="0" borderId="48" xfId="0" applyNumberFormat="1" applyFont="1" applyFill="1" applyBorder="1" applyAlignment="1">
      <alignment horizontal="center" vertical="center"/>
    </xf>
    <xf numFmtId="9" fontId="5" fillId="0" borderId="58" xfId="0" applyNumberFormat="1" applyFont="1" applyFill="1" applyBorder="1" applyAlignment="1">
      <alignment horizontal="center" vertical="center"/>
    </xf>
    <xf numFmtId="176" fontId="8" fillId="4" borderId="15" xfId="0" applyNumberFormat="1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0" fillId="7" borderId="0" xfId="0" applyFill="1" applyAlignment="1">
      <alignment horizontal="center"/>
    </xf>
    <xf numFmtId="0" fontId="0" fillId="0" borderId="0" xfId="0" applyAlignment="1">
      <alignment vertical="top" wrapText="1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10" borderId="0" xfId="0" applyFill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onnections" Target="connection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shaver/Desktop/data/D:/var/mobile/Containers/Data/Application/D65301BF-9658-466E-A1D7-4CBEFEB893DD/Documents/387154658_cloud_folder/_wpsprivate_my_team/&#29590;&#26578;&#21019;&#27427;/&#25512;&#24191;&#34920;&#26684;/&#25968;&#25454;&#32479;&#35745;-&#26085;.xlsx/Users/Administrator/Desktop/Super Browser/&#20107;&#19994;&#19977;&#37096;&#23567;&#21495;22UK/&#23567;&#21495;22UK/uk/219-TM002&#20462;&#25913;&#29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ver/Desktop/data/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cons"/>
      <sheetName val="International URLs"/>
      <sheetName val="International Settings"/>
      <sheetName val="DropdownSizer"/>
      <sheetName val="Instructions"/>
      <sheetName val="Images"/>
      <sheetName val="International Translations"/>
      <sheetName val="Data Validation"/>
      <sheetName val="International Data"/>
      <sheetName val="Example"/>
      <sheetName val="Data Definitions"/>
      <sheetName val="Template"/>
      <sheetName val="Browse Data"/>
      <sheetName val="Valid Values"/>
      <sheetName val="Dropdown Lists"/>
      <sheetName val="AttributePTDMAP"/>
      <sheetName val="Conditions List"/>
      <sheetName val="周损益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子表"/>
      <sheetName val="业务报告"/>
      <sheetName val="WT报告"/>
      <sheetName val="SP"/>
      <sheetName val="SD"/>
      <sheetName val="SB"/>
      <sheetName val="Base"/>
    </sheetNames>
    <sheetDataSet>
      <sheetData sheetId="0"/>
      <sheetData sheetId="1">
        <row r="1">
          <cell r="A1" t="str">
            <v>日期</v>
          </cell>
          <cell r="B1" t="str">
            <v>MSKU/
WOOT ASIN</v>
          </cell>
        </row>
        <row r="1">
          <cell r="G1" t="str">
            <v>会话
次数 –APP</v>
          </cell>
          <cell r="H1" t="str">
            <v>会话
次数 – PC</v>
          </cell>
          <cell r="I1" t="str">
            <v>会话
次数 – 总计</v>
          </cell>
        </row>
        <row r="1">
          <cell r="T1" t="str">
            <v>已订购商品数量</v>
          </cell>
        </row>
        <row r="1">
          <cell r="X1" t="str">
            <v>已订购商品销售额</v>
          </cell>
        </row>
        <row r="1">
          <cell r="AC1" t="str">
            <v>大类
排名</v>
          </cell>
          <cell r="AD1" t="str">
            <v>小类
排名</v>
          </cell>
          <cell r="AE1" t="str">
            <v>KW
(Laser)自然位</v>
          </cell>
          <cell r="AF1" t="str">
            <v>划线价/
VC MSRP</v>
          </cell>
          <cell r="AG1" t="str">
            <v>折扣额/VC-CPN&amp;Promo</v>
          </cell>
          <cell r="AH1" t="str">
            <v>成交价/VC采购价</v>
          </cell>
          <cell r="AI1" t="str">
            <v>评论
星级</v>
          </cell>
          <cell r="AJ1" t="str">
            <v>差评</v>
          </cell>
          <cell r="AK1" t="str">
            <v>活动</v>
          </cell>
        </row>
        <row r="1">
          <cell r="AM1" t="str">
            <v>主售
测评
成本
￥</v>
          </cell>
          <cell r="AN1" t="str">
            <v>VC
测评
成本
￥</v>
          </cell>
          <cell r="AO1" t="str">
            <v>主售
送测
单</v>
          </cell>
          <cell r="AP1" t="str">
            <v>VC
送测单</v>
          </cell>
          <cell r="AQ1" t="str">
            <v>SC
变体
单</v>
          </cell>
          <cell r="AR1" t="str">
            <v>VC
变体
单</v>
          </cell>
          <cell r="AS1" t="str">
            <v>父体
单</v>
          </cell>
        </row>
        <row r="1">
          <cell r="AU1" t="str">
            <v>问题/规划</v>
          </cell>
          <cell r="AV1" t="str">
            <v>调整</v>
          </cell>
        </row>
        <row r="2">
          <cell r="A2">
            <v>45897</v>
          </cell>
          <cell r="B2" t="str">
            <v>ZS-56AI-01ZJ</v>
          </cell>
        </row>
        <row r="2">
          <cell r="G2">
            <v>98</v>
          </cell>
          <cell r="H2">
            <v>40</v>
          </cell>
          <cell r="I2">
            <v>138</v>
          </cell>
        </row>
        <row r="2">
          <cell r="T2">
            <v>0</v>
          </cell>
        </row>
        <row r="2">
          <cell r="X2">
            <v>0</v>
          </cell>
        </row>
        <row r="2">
          <cell r="AC2">
            <v>181695</v>
          </cell>
          <cell r="AD2">
            <v>100</v>
          </cell>
          <cell r="AE2" t="str">
            <v>2--7--3</v>
          </cell>
          <cell r="AF2">
            <v>319.89</v>
          </cell>
          <cell r="AG2" t="str">
            <v>/</v>
          </cell>
          <cell r="AH2">
            <v>79.99</v>
          </cell>
          <cell r="AI2" t="str">
            <v>36/4.9</v>
          </cell>
        </row>
        <row r="2">
          <cell r="AK2" t="str">
            <v>WBD</v>
          </cell>
        </row>
        <row r="2">
          <cell r="AM2">
            <v>513</v>
          </cell>
        </row>
        <row r="2">
          <cell r="AO2">
            <v>2</v>
          </cell>
        </row>
        <row r="2">
          <cell r="AS2">
            <v>0</v>
          </cell>
        </row>
        <row r="2">
          <cell r="AU2" t="str">
            <v>1.大词精准低价组cpc2 第一天曝光少，点击少
2.大词词组点击35次 转化1单，转化率低，top位置无点击，主要点击在详情页面点击22次出1单</v>
          </cell>
          <cell r="AV2" t="str">
            <v>AI01H WOOT BD 第一天出单9单，测评单2单，广告单4单，自然单3单。
1.大词精准低价组cpc2 第一天曝光少，点击少，提价到2.3继续观察
2.大词词组点击35次 转化1单，转化率低，top位置无点击，主要点击在详情页面点击22次出1单，今晚降低cpc，提高top位置比例继续观察
3.2.3级词词组和精准，点击率偏少分散，分别只有25次和14次点击，今晚提高cpc20% 继续观察
4.长尾词词组，曝光少点击只有16次，今晚提高cpc 继续观察
5.长尾词精准曝光点击少，只有1次点击，</v>
          </cell>
        </row>
        <row r="3">
          <cell r="A3">
            <v>45898</v>
          </cell>
          <cell r="B3" t="str">
            <v>ZS-56AI-01ZJ</v>
          </cell>
        </row>
        <row r="3">
          <cell r="AC3">
            <v>93171</v>
          </cell>
          <cell r="AD3">
            <v>46</v>
          </cell>
          <cell r="AE3" t="str">
            <v>1--4-3</v>
          </cell>
          <cell r="AF3">
            <v>319.89</v>
          </cell>
          <cell r="AG3" t="str">
            <v>/</v>
          </cell>
          <cell r="AH3">
            <v>79.99</v>
          </cell>
          <cell r="AI3" t="str">
            <v>36/4.9</v>
          </cell>
        </row>
        <row r="3">
          <cell r="AK3" t="str">
            <v>WBD</v>
          </cell>
        </row>
        <row r="3">
          <cell r="AM3">
            <v>513</v>
          </cell>
        </row>
        <row r="3">
          <cell r="AO3">
            <v>4</v>
          </cell>
        </row>
        <row r="3">
          <cell r="AS3">
            <v>0</v>
          </cell>
        </row>
        <row r="3">
          <cell r="AU3" t="str">
            <v>1.广告开时间晚，部分词没曝光
</v>
          </cell>
          <cell r="AV3" t="str">
            <v>后面广告加预算时间调整到晚上10-11点</v>
          </cell>
        </row>
        <row r="4">
          <cell r="A4">
            <v>45899</v>
          </cell>
          <cell r="B4" t="str">
            <v>ZS-56AI-01ZJ</v>
          </cell>
        </row>
        <row r="4">
          <cell r="AF4">
            <v>319.89</v>
          </cell>
          <cell r="AG4" t="str">
            <v>/</v>
          </cell>
          <cell r="AH4">
            <v>79.99</v>
          </cell>
        </row>
        <row r="4">
          <cell r="AK4" t="str">
            <v>WBD</v>
          </cell>
        </row>
        <row r="4">
          <cell r="AS4">
            <v>0</v>
          </cell>
        </row>
        <row r="4">
          <cell r="AV4" t="str">
            <v>1.大词精准低价，提高cpc到2.3，有点击12次 转化1次 继续观察不调整</v>
          </cell>
        </row>
        <row r="5">
          <cell r="A5">
            <v>45900</v>
          </cell>
          <cell r="B5" t="str">
            <v>ZS-56AI-01ZJ</v>
          </cell>
        </row>
        <row r="5">
          <cell r="AF5">
            <v>319.89</v>
          </cell>
          <cell r="AG5" t="str">
            <v>/</v>
          </cell>
          <cell r="AH5">
            <v>79.99</v>
          </cell>
        </row>
        <row r="5">
          <cell r="AK5" t="str">
            <v>WBD</v>
          </cell>
        </row>
        <row r="5">
          <cell r="AS5">
            <v>0</v>
          </cell>
        </row>
        <row r="6">
          <cell r="A6">
            <v>45901</v>
          </cell>
          <cell r="B6" t="str">
            <v>ZS-56AI-01ZJ</v>
          </cell>
        </row>
        <row r="6">
          <cell r="AF6">
            <v>319.89</v>
          </cell>
          <cell r="AG6" t="str">
            <v>/</v>
          </cell>
          <cell r="AH6">
            <v>79.99</v>
          </cell>
        </row>
        <row r="6">
          <cell r="AK6" t="str">
            <v>WBD</v>
          </cell>
        </row>
        <row r="6">
          <cell r="AS6">
            <v>0</v>
          </cell>
        </row>
        <row r="6">
          <cell r="AV6" t="str">
            <v>2.大词词组降低cpc 提高top位比例，广告点击去到top 点击17次，未转化，今晚再观察一晚不做调整，对跑出来不相关词做否定</v>
          </cell>
        </row>
        <row r="7">
          <cell r="A7">
            <v>45902</v>
          </cell>
          <cell r="B7" t="str">
            <v>ZS-56AI-01ZJ</v>
          </cell>
        </row>
        <row r="7">
          <cell r="AF7">
            <v>319.89</v>
          </cell>
          <cell r="AG7" t="str">
            <v>/</v>
          </cell>
          <cell r="AH7">
            <v>79.99</v>
          </cell>
        </row>
        <row r="7">
          <cell r="AK7" t="str">
            <v>WBD</v>
          </cell>
        </row>
        <row r="7">
          <cell r="AS7">
            <v>0</v>
          </cell>
        </row>
        <row r="8">
          <cell r="A8">
            <v>45903</v>
          </cell>
          <cell r="B8" t="str">
            <v>ZS-56AI-01ZJ</v>
          </cell>
        </row>
        <row r="8">
          <cell r="AF8">
            <v>319.89</v>
          </cell>
          <cell r="AG8" t="str">
            <v>/</v>
          </cell>
          <cell r="AH8">
            <v>79.99</v>
          </cell>
        </row>
        <row r="8">
          <cell r="AK8" t="str">
            <v>WBD</v>
          </cell>
        </row>
        <row r="8">
          <cell r="AS8">
            <v>0</v>
          </cell>
        </row>
        <row r="8">
          <cell r="AV8" t="str">
            <v>3.2.3级词词组，cpc提高到2.35 曝光点击偏少，1070曝光只有5次点击，继续提高cpc到2.45</v>
          </cell>
        </row>
        <row r="9">
          <cell r="A9">
            <v>45904</v>
          </cell>
          <cell r="B9" t="str">
            <v>ZS-56AI-01ZJ</v>
          </cell>
        </row>
        <row r="9">
          <cell r="AF9">
            <v>319.89</v>
          </cell>
          <cell r="AG9" t="str">
            <v>/</v>
          </cell>
          <cell r="AH9">
            <v>79.99</v>
          </cell>
        </row>
        <row r="9">
          <cell r="AK9" t="str">
            <v>WBD</v>
          </cell>
        </row>
        <row r="9">
          <cell r="AS9">
            <v>0</v>
          </cell>
        </row>
        <row r="9">
          <cell r="AV9" t="str">
            <v>4.2.3级词精准，cpc提高到2.5 ，曝光点击达到预期，无转化，主要预算花在 laser hair removal for women /ipl laser hair removal 各点击10次无转化，继续观察</v>
          </cell>
        </row>
        <row r="10">
          <cell r="A10">
            <v>45905</v>
          </cell>
          <cell r="B10" t="str">
            <v>ZS-56AI-01ZJ</v>
          </cell>
        </row>
        <row r="10">
          <cell r="AF10">
            <v>319.89</v>
          </cell>
          <cell r="AG10" t="str">
            <v>/</v>
          </cell>
          <cell r="AH10">
            <v>79.99</v>
          </cell>
        </row>
        <row r="10">
          <cell r="AK10" t="str">
            <v>WBD</v>
          </cell>
        </row>
        <row r="10">
          <cell r="AS10">
            <v>0</v>
          </cell>
        </row>
        <row r="10">
          <cell r="AV10" t="str">
            <v>5.长尾词精准提高竞价到 2美金，只有3次点击，今晚继续提高cpc到2.3</v>
          </cell>
        </row>
        <row r="11">
          <cell r="A11">
            <v>45906</v>
          </cell>
          <cell r="B11" t="str">
            <v>ZS-56AI-01ZJ</v>
          </cell>
        </row>
        <row r="11">
          <cell r="AF11">
            <v>319.89</v>
          </cell>
          <cell r="AG11" t="str">
            <v>/</v>
          </cell>
          <cell r="AH11">
            <v>79.99</v>
          </cell>
        </row>
        <row r="11">
          <cell r="AK11" t="str">
            <v>WBD</v>
          </cell>
        </row>
        <row r="11">
          <cell r="AS11">
            <v>0</v>
          </cell>
        </row>
        <row r="11">
          <cell r="AV11" t="str">
            <v>6.长尾词词组 cpc提高到2.35 曝光点击没达到预期，今晚继续提高cpc到2.45</v>
          </cell>
        </row>
        <row r="12">
          <cell r="A12">
            <v>45907</v>
          </cell>
          <cell r="B12" t="str">
            <v>ZS-56AI-01ZJ</v>
          </cell>
        </row>
        <row r="12">
          <cell r="AF12">
            <v>319.89</v>
          </cell>
          <cell r="AG12" t="str">
            <v>/</v>
          </cell>
          <cell r="AH12">
            <v>79.99</v>
          </cell>
        </row>
        <row r="12">
          <cell r="AK12" t="str">
            <v>WBD</v>
          </cell>
        </row>
        <row r="12">
          <cell r="AS12">
            <v>0</v>
          </cell>
        </row>
        <row r="13">
          <cell r="A13">
            <v>45908</v>
          </cell>
          <cell r="B13" t="str">
            <v>ZS-56AI-01ZJ</v>
          </cell>
        </row>
        <row r="13">
          <cell r="AF13">
            <v>319.89</v>
          </cell>
          <cell r="AG13" t="str">
            <v>/</v>
          </cell>
          <cell r="AH13">
            <v>79.99</v>
          </cell>
        </row>
        <row r="13">
          <cell r="AK13" t="str">
            <v>WBD</v>
          </cell>
        </row>
        <row r="13">
          <cell r="AS13">
            <v>0</v>
          </cell>
        </row>
        <row r="14">
          <cell r="A14">
            <v>45909</v>
          </cell>
          <cell r="B14" t="str">
            <v>ZS-56AI-01ZJ</v>
          </cell>
        </row>
        <row r="14">
          <cell r="AF14">
            <v>319.89</v>
          </cell>
          <cell r="AG14" t="str">
            <v>/</v>
          </cell>
          <cell r="AH14">
            <v>79.99</v>
          </cell>
        </row>
        <row r="14">
          <cell r="AK14" t="str">
            <v>WBD</v>
          </cell>
        </row>
        <row r="14">
          <cell r="AS14">
            <v>0</v>
          </cell>
        </row>
        <row r="15">
          <cell r="A15">
            <v>45910</v>
          </cell>
          <cell r="B15" t="str">
            <v>ZS-56AI-01ZJ</v>
          </cell>
        </row>
        <row r="15">
          <cell r="AF15">
            <v>319.89</v>
          </cell>
          <cell r="AG15" t="str">
            <v>/</v>
          </cell>
          <cell r="AH15">
            <v>79.99</v>
          </cell>
        </row>
        <row r="15">
          <cell r="AK15" t="str">
            <v>WBD</v>
          </cell>
        </row>
        <row r="15">
          <cell r="AS15">
            <v>0</v>
          </cell>
        </row>
      </sheetData>
      <sheetData sheetId="2">
        <row r="1">
          <cell r="A1" t="str">
            <v>Price</v>
          </cell>
        </row>
        <row r="1">
          <cell r="C1" t="str">
            <v>Date-1</v>
          </cell>
        </row>
        <row r="1">
          <cell r="H1" t="str">
            <v>childAsin</v>
          </cell>
          <cell r="I1" t="str">
            <v>Woot Orders</v>
          </cell>
          <cell r="J1" t="str">
            <v>Ads  Orders</v>
          </cell>
        </row>
        <row r="1">
          <cell r="M1" t="str">
            <v>Ads Spend</v>
          </cell>
          <cell r="N1" t="str">
            <v>Ads CPC</v>
          </cell>
        </row>
        <row r="1">
          <cell r="P1" t="str">
            <v>Clicks</v>
          </cell>
          <cell r="Q1" t="str">
            <v>Ads CTR</v>
          </cell>
        </row>
        <row r="1">
          <cell r="S1" t="str">
            <v>Cost Per Ads Order</v>
          </cell>
        </row>
        <row r="1">
          <cell r="Z1" t="str">
            <v>M8</v>
          </cell>
        </row>
        <row r="2">
          <cell r="A2" t="str">
            <v>采购价</v>
          </cell>
        </row>
        <row r="2">
          <cell r="C2" t="str">
            <v>报告日期</v>
          </cell>
        </row>
        <row r="2">
          <cell r="H2" t="str">
            <v>子Asin</v>
          </cell>
          <cell r="I2" t="str">
            <v>Woot订单数量</v>
          </cell>
          <cell r="J2" t="str">
            <v>广告订单数量</v>
          </cell>
        </row>
        <row r="2">
          <cell r="M2" t="str">
            <v>广告花费</v>
          </cell>
          <cell r="N2" t="str">
            <v>广告单次点击花费</v>
          </cell>
        </row>
        <row r="2">
          <cell r="P2" t="str">
            <v>点击数量</v>
          </cell>
          <cell r="Q2" t="str">
            <v>广告点击率</v>
          </cell>
        </row>
        <row r="2">
          <cell r="S2" t="str">
            <v>单个广告订单的费用</v>
          </cell>
        </row>
        <row r="2">
          <cell r="Z2" t="str">
            <v>总销售额</v>
          </cell>
        </row>
        <row r="3">
          <cell r="A3">
            <v>38.5</v>
          </cell>
        </row>
        <row r="3">
          <cell r="C3">
            <v>45784</v>
          </cell>
        </row>
        <row r="3">
          <cell r="H3" t="str">
            <v>B0DM2CJ21Q</v>
          </cell>
          <cell r="I3">
            <v>10</v>
          </cell>
          <cell r="J3">
            <v>6</v>
          </cell>
        </row>
        <row r="3">
          <cell r="M3">
            <v>105.67</v>
          </cell>
          <cell r="N3">
            <v>2.03</v>
          </cell>
        </row>
        <row r="3">
          <cell r="P3">
            <v>52</v>
          </cell>
          <cell r="Q3">
            <v>0.0009</v>
          </cell>
        </row>
        <row r="3">
          <cell r="S3">
            <v>17.61</v>
          </cell>
        </row>
        <row r="3">
          <cell r="Z3">
            <v>599.9</v>
          </cell>
        </row>
        <row r="4">
          <cell r="A4">
            <v>47.99</v>
          </cell>
        </row>
        <row r="4">
          <cell r="C4">
            <v>45897</v>
          </cell>
        </row>
        <row r="4">
          <cell r="H4" t="str">
            <v>B0FC6N29Y5</v>
          </cell>
          <cell r="I4">
            <v>9</v>
          </cell>
          <cell r="J4">
            <v>4</v>
          </cell>
        </row>
        <row r="4">
          <cell r="M4">
            <v>198.55</v>
          </cell>
          <cell r="N4">
            <v>2.18</v>
          </cell>
        </row>
        <row r="4">
          <cell r="P4">
            <v>91</v>
          </cell>
          <cell r="Q4">
            <v>0.0065</v>
          </cell>
        </row>
        <row r="4">
          <cell r="S4">
            <v>49.63</v>
          </cell>
        </row>
        <row r="4">
          <cell r="Z4">
            <v>719.91</v>
          </cell>
        </row>
        <row r="5">
          <cell r="A5">
            <v>47.99</v>
          </cell>
        </row>
        <row r="5">
          <cell r="C5">
            <v>45898</v>
          </cell>
        </row>
        <row r="5">
          <cell r="H5" t="str">
            <v>B0FC6N29Y5</v>
          </cell>
          <cell r="I5">
            <v>10</v>
          </cell>
          <cell r="J5">
            <v>1</v>
          </cell>
        </row>
        <row r="5">
          <cell r="M5">
            <v>224.53</v>
          </cell>
          <cell r="N5">
            <v>2.44</v>
          </cell>
        </row>
        <row r="5">
          <cell r="P5">
            <v>92</v>
          </cell>
          <cell r="Q5">
            <v>0.0053</v>
          </cell>
        </row>
        <row r="5">
          <cell r="S5">
            <v>224.53</v>
          </cell>
        </row>
        <row r="5">
          <cell r="Z5">
            <v>799.9</v>
          </cell>
        </row>
        <row r="6">
          <cell r="A6">
            <v>47.99</v>
          </cell>
        </row>
        <row r="6">
          <cell r="C6" t="str">
            <v/>
          </cell>
        </row>
        <row r="7">
          <cell r="A7">
            <v>47.99</v>
          </cell>
        </row>
        <row r="7">
          <cell r="C7" t="str">
            <v/>
          </cell>
        </row>
        <row r="8">
          <cell r="A8">
            <v>47.99</v>
          </cell>
        </row>
        <row r="8">
          <cell r="C8" t="str">
            <v/>
          </cell>
        </row>
        <row r="9">
          <cell r="A9">
            <v>47.99</v>
          </cell>
        </row>
        <row r="9">
          <cell r="C9" t="str">
            <v/>
          </cell>
        </row>
        <row r="10">
          <cell r="A10">
            <v>47.99</v>
          </cell>
        </row>
        <row r="10">
          <cell r="C10" t="str">
            <v/>
          </cell>
        </row>
        <row r="11">
          <cell r="A11">
            <v>47.99</v>
          </cell>
        </row>
        <row r="11">
          <cell r="C11" t="str">
            <v/>
          </cell>
        </row>
        <row r="12">
          <cell r="A12">
            <v>47.99</v>
          </cell>
        </row>
        <row r="12">
          <cell r="C12" t="str">
            <v/>
          </cell>
        </row>
        <row r="13">
          <cell r="A13">
            <v>47.99</v>
          </cell>
        </row>
        <row r="13">
          <cell r="C13" t="str">
            <v/>
          </cell>
        </row>
        <row r="14">
          <cell r="A14">
            <v>47.99</v>
          </cell>
        </row>
        <row r="14">
          <cell r="C14" t="str">
            <v/>
          </cell>
        </row>
        <row r="15">
          <cell r="A15">
            <v>47.99</v>
          </cell>
        </row>
        <row r="15">
          <cell r="C15" t="str">
            <v/>
          </cell>
        </row>
        <row r="16">
          <cell r="A16">
            <v>47.99</v>
          </cell>
        </row>
        <row r="16">
          <cell r="C16" t="str">
            <v/>
          </cell>
        </row>
        <row r="17">
          <cell r="A17">
            <v>47.99</v>
          </cell>
        </row>
        <row r="17">
          <cell r="C17" t="str">
            <v/>
          </cell>
        </row>
        <row r="18">
          <cell r="A18">
            <v>47.99</v>
          </cell>
        </row>
        <row r="18">
          <cell r="C18" t="str">
            <v/>
          </cell>
        </row>
        <row r="19">
          <cell r="A19">
            <v>47.99</v>
          </cell>
        </row>
        <row r="19">
          <cell r="C19" t="str">
            <v/>
          </cell>
        </row>
        <row r="20">
          <cell r="A20">
            <v>47.99</v>
          </cell>
        </row>
        <row r="20">
          <cell r="C20" t="str">
            <v/>
          </cell>
        </row>
        <row r="21">
          <cell r="A21">
            <v>47.99</v>
          </cell>
        </row>
        <row r="21">
          <cell r="C21" t="str">
            <v/>
          </cell>
        </row>
        <row r="22">
          <cell r="A22">
            <v>47.99</v>
          </cell>
        </row>
        <row r="22">
          <cell r="C22" t="str">
            <v/>
          </cell>
        </row>
        <row r="23">
          <cell r="A23">
            <v>47.99</v>
          </cell>
        </row>
        <row r="23">
          <cell r="C23" t="str">
            <v/>
          </cell>
        </row>
        <row r="24">
          <cell r="A24">
            <v>47.99</v>
          </cell>
        </row>
        <row r="24">
          <cell r="C24" t="str">
            <v/>
          </cell>
        </row>
        <row r="25">
          <cell r="A25">
            <v>47.99</v>
          </cell>
        </row>
        <row r="25">
          <cell r="C25" t="str">
            <v/>
          </cell>
        </row>
        <row r="26">
          <cell r="A26">
            <v>47.99</v>
          </cell>
        </row>
        <row r="26">
          <cell r="C26" t="str">
            <v/>
          </cell>
        </row>
        <row r="27">
          <cell r="A27">
            <v>47.99</v>
          </cell>
        </row>
        <row r="27">
          <cell r="C27" t="str">
            <v/>
          </cell>
        </row>
        <row r="28">
          <cell r="A28">
            <v>47.99</v>
          </cell>
        </row>
        <row r="28">
          <cell r="C28" t="str">
            <v/>
          </cell>
        </row>
      </sheetData>
      <sheetData sheetId="3">
        <row r="1">
          <cell r="A1" t="str">
            <v>日期</v>
          </cell>
        </row>
        <row r="1">
          <cell r="H1" t="str">
            <v>广告ASIN</v>
          </cell>
        </row>
        <row r="1">
          <cell r="J1" t="str">
            <v>点击量</v>
          </cell>
          <cell r="K1" t="str">
            <v>点击率(CTR)</v>
          </cell>
        </row>
        <row r="1">
          <cell r="N1" t="str">
            <v>7天总销售额</v>
          </cell>
          <cell r="O1" t="str">
            <v>广告成本销售比(ACoS)</v>
          </cell>
        </row>
        <row r="1">
          <cell r="R1" t="str">
            <v>7天总销售量(#)</v>
          </cell>
        </row>
        <row r="2">
          <cell r="A2">
            <v>45788</v>
          </cell>
        </row>
        <row r="2">
          <cell r="H2" t="str">
            <v>B0CTGWGQPP</v>
          </cell>
        </row>
        <row r="2">
          <cell r="J2">
            <v>11</v>
          </cell>
          <cell r="K2">
            <v>0.00176</v>
          </cell>
        </row>
        <row r="2">
          <cell r="N2">
            <v>0</v>
          </cell>
        </row>
        <row r="2">
          <cell r="R2">
            <v>0</v>
          </cell>
        </row>
      </sheetData>
      <sheetData sheetId="4">
        <row r="1">
          <cell r="A1" t="str">
            <v>日期</v>
          </cell>
        </row>
        <row r="1">
          <cell r="H1" t="str">
            <v>广告SKU</v>
          </cell>
        </row>
        <row r="1">
          <cell r="J1" t="str">
            <v>展示量</v>
          </cell>
        </row>
        <row r="1">
          <cell r="L1" t="str">
            <v>点击
量</v>
          </cell>
        </row>
        <row r="1">
          <cell r="O1" t="str">
            <v>花费</v>
          </cell>
        </row>
        <row r="1">
          <cell r="U1" t="str">
            <v>14天总销售量(#)</v>
          </cell>
          <cell r="V1" t="str">
            <v>14天总销售额</v>
          </cell>
        </row>
        <row r="2">
          <cell r="A2">
            <v>45743</v>
          </cell>
        </row>
        <row r="2">
          <cell r="H2" t="str">
            <v>B0CTGWGQPP</v>
          </cell>
        </row>
        <row r="2">
          <cell r="J2">
            <v>2765</v>
          </cell>
        </row>
        <row r="2">
          <cell r="L2">
            <v>4</v>
          </cell>
        </row>
        <row r="2">
          <cell r="O2">
            <v>11.38673</v>
          </cell>
        </row>
        <row r="2">
          <cell r="U2">
            <v>0</v>
          </cell>
          <cell r="V2">
            <v>0</v>
          </cell>
        </row>
      </sheetData>
      <sheetData sheetId="5">
        <row r="1">
          <cell r="A1" t="str">
            <v>SKU/ASIN</v>
          </cell>
          <cell r="B1" t="str">
            <v>日期</v>
          </cell>
        </row>
        <row r="1">
          <cell r="H1" t="str">
            <v>展示量</v>
          </cell>
          <cell r="I1" t="str">
            <v>点击量</v>
          </cell>
        </row>
        <row r="1">
          <cell r="L1" t="str">
            <v>花费</v>
          </cell>
        </row>
        <row r="1">
          <cell r="O1" t="str">
            <v>14天总销售额</v>
          </cell>
        </row>
        <row r="1">
          <cell r="Q1" t="str">
            <v>14天总销售量(#)</v>
          </cell>
        </row>
        <row r="2">
          <cell r="A2" t="str">
            <v>B0CTGWGQPP</v>
          </cell>
          <cell r="B2">
            <v>45761</v>
          </cell>
        </row>
        <row r="2">
          <cell r="H2">
            <v>199</v>
          </cell>
          <cell r="I2">
            <v>5</v>
          </cell>
        </row>
        <row r="2">
          <cell r="L2">
            <v>7.35</v>
          </cell>
        </row>
        <row r="2">
          <cell r="O2">
            <v>0</v>
          </cell>
        </row>
        <row r="2">
          <cell r="Q2">
            <v>0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>
            <v>0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</sheetData>
      <sheetData sheetId="6"/>
    </sheetDataSet>
  </externalBook>
</externalLink>
</file>

<file path=xl/queryTables/queryTable1.xml><?xml version="1.0" encoding="utf-8"?>
<queryTable xmlns="http://schemas.openxmlformats.org/spreadsheetml/2006/main" name="ExternalData_1" connectionId="9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2" connectionId="7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1" connectionId="8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99"/>
  <sheetViews>
    <sheetView tabSelected="1" workbookViewId="0">
      <selection activeCell="D8" sqref="D8"/>
    </sheetView>
  </sheetViews>
  <sheetFormatPr defaultColWidth="9" defaultRowHeight="16.8" outlineLevelCol="4"/>
  <cols>
    <col min="1" max="1" width="24.6730769230769" style="165" customWidth="1"/>
    <col min="2" max="2" width="12.7692307692308" style="165" customWidth="1"/>
    <col min="3" max="3" width="18.6153846153846" style="165" customWidth="1"/>
    <col min="4" max="4" width="76.3076923076923" style="166" customWidth="1"/>
    <col min="5" max="5" width="213" customWidth="1"/>
  </cols>
  <sheetData>
    <row r="1" spans="1:5">
      <c r="A1" s="167" t="s">
        <v>0</v>
      </c>
      <c r="B1" s="165" t="s">
        <v>1</v>
      </c>
      <c r="C1" s="165" t="s">
        <v>2</v>
      </c>
      <c r="D1" s="168" t="s">
        <v>3</v>
      </c>
      <c r="E1" t="s">
        <v>4</v>
      </c>
    </row>
    <row r="2" spans="1:5">
      <c r="A2" s="167"/>
      <c r="B2" s="168" t="s">
        <v>5</v>
      </c>
      <c r="C2" s="165" t="s">
        <v>6</v>
      </c>
      <c r="D2" s="166" t="s">
        <v>7</v>
      </c>
      <c r="E2" t="s">
        <v>8</v>
      </c>
    </row>
    <row r="3" spans="1:3">
      <c r="A3" s="167"/>
      <c r="B3" s="168" t="s">
        <v>9</v>
      </c>
      <c r="C3" s="165" t="s">
        <v>10</v>
      </c>
    </row>
    <row r="4" spans="1:3">
      <c r="A4" s="167"/>
      <c r="B4" s="168" t="s">
        <v>11</v>
      </c>
      <c r="C4" s="165" t="s">
        <v>12</v>
      </c>
    </row>
    <row r="5" spans="1:3">
      <c r="A5" s="167"/>
      <c r="B5" s="168" t="s">
        <v>13</v>
      </c>
      <c r="C5" s="165" t="s">
        <v>14</v>
      </c>
    </row>
    <row r="6" spans="1:4">
      <c r="A6" s="167"/>
      <c r="B6" s="168" t="s">
        <v>15</v>
      </c>
      <c r="C6" s="166"/>
      <c r="D6" s="166" t="s">
        <v>16</v>
      </c>
    </row>
    <row r="7" spans="1:4">
      <c r="A7" s="167"/>
      <c r="B7" s="168" t="s">
        <v>17</v>
      </c>
      <c r="D7" s="166" t="s">
        <v>18</v>
      </c>
    </row>
    <row r="8" spans="1:4">
      <c r="A8" s="167"/>
      <c r="B8" s="168" t="s">
        <v>19</v>
      </c>
      <c r="C8" s="166"/>
      <c r="D8" s="166" t="s">
        <v>20</v>
      </c>
    </row>
    <row r="9" spans="1:4">
      <c r="A9" s="167"/>
      <c r="B9" s="168" t="s">
        <v>21</v>
      </c>
      <c r="C9" s="166"/>
      <c r="D9" s="166" t="s">
        <v>22</v>
      </c>
    </row>
    <row r="10" spans="1:5">
      <c r="A10" s="167"/>
      <c r="B10" s="165" t="s">
        <v>23</v>
      </c>
      <c r="E10" s="166" t="s">
        <v>24</v>
      </c>
    </row>
    <row r="11" spans="1:5">
      <c r="A11" s="167"/>
      <c r="B11" s="165" t="s">
        <v>25</v>
      </c>
      <c r="E11" t="s">
        <v>26</v>
      </c>
    </row>
    <row r="13" spans="1:5">
      <c r="A13" s="165" t="s">
        <v>27</v>
      </c>
      <c r="B13" s="169" t="s">
        <v>28</v>
      </c>
      <c r="C13" s="169" t="s">
        <v>2</v>
      </c>
      <c r="D13" s="170" t="s">
        <v>29</v>
      </c>
      <c r="E13" s="177" t="s">
        <v>4</v>
      </c>
    </row>
    <row r="14" ht="68" hidden="1" spans="1:5">
      <c r="A14" s="171"/>
      <c r="B14" s="168" t="s">
        <v>30</v>
      </c>
      <c r="C14" s="168" t="s">
        <v>31</v>
      </c>
      <c r="D14" s="172" t="s">
        <v>32</v>
      </c>
      <c r="E14" s="178" t="s">
        <v>33</v>
      </c>
    </row>
    <row r="15" ht="68" hidden="1" spans="1:5">
      <c r="A15" s="171"/>
      <c r="B15" s="168" t="s">
        <v>34</v>
      </c>
      <c r="C15" s="168" t="s">
        <v>35</v>
      </c>
      <c r="D15" s="172" t="s">
        <v>36</v>
      </c>
      <c r="E15" s="178" t="s">
        <v>37</v>
      </c>
    </row>
    <row r="16" ht="68" hidden="1" spans="1:5">
      <c r="A16" s="171"/>
      <c r="B16" s="168" t="s">
        <v>38</v>
      </c>
      <c r="C16" s="168" t="s">
        <v>39</v>
      </c>
      <c r="D16" s="172" t="s">
        <v>40</v>
      </c>
      <c r="E16" s="178" t="s">
        <v>41</v>
      </c>
    </row>
    <row r="17" ht="68" hidden="1" spans="1:5">
      <c r="A17" s="171"/>
      <c r="B17" s="168" t="s">
        <v>42</v>
      </c>
      <c r="C17" s="168" t="s">
        <v>43</v>
      </c>
      <c r="D17" s="172" t="s">
        <v>44</v>
      </c>
      <c r="E17" s="178" t="s">
        <v>45</v>
      </c>
    </row>
    <row r="18" ht="68" hidden="1" spans="1:5">
      <c r="A18" s="171"/>
      <c r="B18" s="168" t="s">
        <v>46</v>
      </c>
      <c r="C18" s="168" t="s">
        <v>47</v>
      </c>
      <c r="D18" s="172" t="s">
        <v>48</v>
      </c>
      <c r="E18" s="178" t="s">
        <v>49</v>
      </c>
    </row>
    <row r="19" ht="68" hidden="1" spans="1:5">
      <c r="A19" s="171"/>
      <c r="B19" s="168" t="s">
        <v>50</v>
      </c>
      <c r="C19" s="168" t="s">
        <v>51</v>
      </c>
      <c r="D19" s="172" t="s">
        <v>52</v>
      </c>
      <c r="E19" s="178" t="s">
        <v>53</v>
      </c>
    </row>
    <row r="20" ht="68" hidden="1" spans="1:5">
      <c r="A20" s="171"/>
      <c r="B20" s="168" t="s">
        <v>54</v>
      </c>
      <c r="C20" s="168" t="s">
        <v>55</v>
      </c>
      <c r="D20" s="172" t="s">
        <v>56</v>
      </c>
      <c r="E20" s="178" t="s">
        <v>57</v>
      </c>
    </row>
    <row r="21" ht="68" hidden="1" spans="1:5">
      <c r="A21" s="171"/>
      <c r="B21" s="168" t="s">
        <v>58</v>
      </c>
      <c r="C21" s="168" t="s">
        <v>59</v>
      </c>
      <c r="D21" s="172" t="s">
        <v>60</v>
      </c>
      <c r="E21" s="178" t="s">
        <v>61</v>
      </c>
    </row>
    <row r="22" ht="68" hidden="1" spans="1:5">
      <c r="A22" s="171"/>
      <c r="B22" s="168" t="s">
        <v>62</v>
      </c>
      <c r="C22" s="168" t="s">
        <v>63</v>
      </c>
      <c r="D22" s="172" t="s">
        <v>64</v>
      </c>
      <c r="E22" s="178" t="s">
        <v>65</v>
      </c>
    </row>
    <row r="23" ht="68" hidden="1" spans="1:5">
      <c r="A23" s="171"/>
      <c r="B23" s="168" t="s">
        <v>66</v>
      </c>
      <c r="C23" s="168" t="s">
        <v>67</v>
      </c>
      <c r="D23" s="172" t="s">
        <v>68</v>
      </c>
      <c r="E23" s="178" t="s">
        <v>69</v>
      </c>
    </row>
    <row r="24" ht="68" hidden="1" spans="1:5">
      <c r="A24" s="171"/>
      <c r="B24" s="168" t="s">
        <v>70</v>
      </c>
      <c r="C24" s="168" t="s">
        <v>71</v>
      </c>
      <c r="D24" s="172" t="s">
        <v>72</v>
      </c>
      <c r="E24" s="178" t="s">
        <v>73</v>
      </c>
    </row>
    <row r="25" ht="68" hidden="1" spans="1:5">
      <c r="A25" s="171"/>
      <c r="B25" s="168" t="s">
        <v>74</v>
      </c>
      <c r="C25" s="168" t="s">
        <v>75</v>
      </c>
      <c r="D25" s="172" t="s">
        <v>76</v>
      </c>
      <c r="E25" s="178" t="s">
        <v>77</v>
      </c>
    </row>
    <row r="26" hidden="1" spans="1:5">
      <c r="A26" s="171"/>
      <c r="B26" s="168" t="s">
        <v>78</v>
      </c>
      <c r="C26" s="168" t="s">
        <v>79</v>
      </c>
      <c r="D26" s="166" t="s">
        <v>80</v>
      </c>
      <c r="E26" s="178" t="s">
        <v>81</v>
      </c>
    </row>
    <row r="27" hidden="1" spans="1:5">
      <c r="A27" s="173" t="s">
        <v>82</v>
      </c>
      <c r="B27" s="168" t="s">
        <v>83</v>
      </c>
      <c r="C27" s="168" t="s">
        <v>14</v>
      </c>
      <c r="D27" s="166" t="s">
        <v>84</v>
      </c>
      <c r="E27" s="178" t="s">
        <v>85</v>
      </c>
    </row>
    <row r="28" ht="202" hidden="1" spans="1:5">
      <c r="A28" s="173"/>
      <c r="B28" s="168" t="s">
        <v>86</v>
      </c>
      <c r="C28" s="168" t="s">
        <v>87</v>
      </c>
      <c r="D28" s="172" t="s">
        <v>88</v>
      </c>
      <c r="E28" s="178" t="s">
        <v>89</v>
      </c>
    </row>
    <row r="29" ht="202" hidden="1" spans="1:5">
      <c r="A29" s="173"/>
      <c r="B29" s="168" t="s">
        <v>90</v>
      </c>
      <c r="C29" s="168" t="s">
        <v>91</v>
      </c>
      <c r="D29" s="172" t="s">
        <v>92</v>
      </c>
      <c r="E29" s="178" t="s">
        <v>93</v>
      </c>
    </row>
    <row r="30" ht="168" hidden="1" spans="1:5">
      <c r="A30" s="173"/>
      <c r="B30" s="168" t="s">
        <v>94</v>
      </c>
      <c r="C30" s="168" t="s">
        <v>95</v>
      </c>
      <c r="D30" s="172" t="s">
        <v>96</v>
      </c>
      <c r="E30" s="178" t="s">
        <v>97</v>
      </c>
    </row>
    <row r="31" ht="168" hidden="1" spans="1:5">
      <c r="A31" s="173"/>
      <c r="B31" s="168" t="s">
        <v>98</v>
      </c>
      <c r="C31" s="168" t="s">
        <v>99</v>
      </c>
      <c r="D31" s="172" t="s">
        <v>100</v>
      </c>
      <c r="E31" s="178" t="s">
        <v>101</v>
      </c>
    </row>
    <row r="32" hidden="1" spans="1:5">
      <c r="A32" s="173"/>
      <c r="B32" s="168" t="s">
        <v>102</v>
      </c>
      <c r="C32" s="168" t="s">
        <v>103</v>
      </c>
      <c r="D32" s="166" t="s">
        <v>104</v>
      </c>
      <c r="E32" s="178" t="s">
        <v>105</v>
      </c>
    </row>
    <row r="33" ht="168" hidden="1" spans="1:5">
      <c r="A33" s="173"/>
      <c r="B33" s="168" t="s">
        <v>106</v>
      </c>
      <c r="C33" s="168" t="s">
        <v>107</v>
      </c>
      <c r="D33" s="172" t="s">
        <v>108</v>
      </c>
      <c r="E33" s="178" t="s">
        <v>109</v>
      </c>
    </row>
    <row r="34" ht="168" hidden="1" spans="1:5">
      <c r="A34" s="173"/>
      <c r="B34" s="168" t="s">
        <v>110</v>
      </c>
      <c r="C34" s="168" t="s">
        <v>111</v>
      </c>
      <c r="D34" s="172" t="s">
        <v>112</v>
      </c>
      <c r="E34" s="178" t="s">
        <v>113</v>
      </c>
    </row>
    <row r="35" ht="68" hidden="1" spans="1:5">
      <c r="A35" s="173"/>
      <c r="B35" s="168" t="s">
        <v>114</v>
      </c>
      <c r="C35" s="168" t="s">
        <v>115</v>
      </c>
      <c r="D35" s="172" t="s">
        <v>116</v>
      </c>
      <c r="E35" s="178" t="s">
        <v>117</v>
      </c>
    </row>
    <row r="36" ht="68" hidden="1" spans="1:5">
      <c r="A36" s="173"/>
      <c r="B36" s="168" t="s">
        <v>118</v>
      </c>
      <c r="C36" s="168" t="s">
        <v>119</v>
      </c>
      <c r="D36" s="172" t="s">
        <v>120</v>
      </c>
      <c r="E36" s="178" t="s">
        <v>121</v>
      </c>
    </row>
    <row r="37" ht="168" hidden="1" spans="1:5">
      <c r="A37" s="173"/>
      <c r="B37" s="168" t="s">
        <v>122</v>
      </c>
      <c r="C37" s="168" t="s">
        <v>123</v>
      </c>
      <c r="D37" s="172" t="s">
        <v>124</v>
      </c>
      <c r="E37" s="178" t="s">
        <v>125</v>
      </c>
    </row>
    <row r="38" ht="168" spans="1:5">
      <c r="A38" s="174" t="s">
        <v>126</v>
      </c>
      <c r="B38" s="168" t="s">
        <v>127</v>
      </c>
      <c r="C38" s="168" t="s">
        <v>128</v>
      </c>
      <c r="D38" s="172" t="s">
        <v>129</v>
      </c>
      <c r="E38" s="178" t="s">
        <v>130</v>
      </c>
    </row>
    <row r="39" ht="68" spans="1:5">
      <c r="A39" s="174"/>
      <c r="B39" s="168" t="s">
        <v>131</v>
      </c>
      <c r="C39" s="168" t="s">
        <v>132</v>
      </c>
      <c r="D39" s="175" t="s">
        <v>133</v>
      </c>
      <c r="E39" s="178" t="s">
        <v>134</v>
      </c>
    </row>
    <row r="40" ht="135" spans="1:5">
      <c r="A40" s="174"/>
      <c r="B40" s="168" t="s">
        <v>135</v>
      </c>
      <c r="C40" s="168" t="s">
        <v>136</v>
      </c>
      <c r="D40" s="175" t="s">
        <v>137</v>
      </c>
      <c r="E40" s="178" t="s">
        <v>138</v>
      </c>
    </row>
    <row r="41" spans="1:5">
      <c r="A41" s="174"/>
      <c r="B41" s="168" t="s">
        <v>139</v>
      </c>
      <c r="C41" s="168" t="s">
        <v>140</v>
      </c>
      <c r="D41" s="166" t="s">
        <v>141</v>
      </c>
      <c r="E41" s="178" t="s">
        <v>142</v>
      </c>
    </row>
    <row r="42" ht="51" spans="1:5">
      <c r="A42" s="174"/>
      <c r="B42" s="168" t="s">
        <v>143</v>
      </c>
      <c r="C42" s="168" t="s">
        <v>144</v>
      </c>
      <c r="D42" s="175" t="s">
        <v>145</v>
      </c>
      <c r="E42" s="178" t="s">
        <v>146</v>
      </c>
    </row>
    <row r="43" ht="135" spans="1:5">
      <c r="A43" s="174"/>
      <c r="B43" s="168" t="s">
        <v>147</v>
      </c>
      <c r="C43" s="168" t="s">
        <v>148</v>
      </c>
      <c r="D43" s="175" t="s">
        <v>149</v>
      </c>
      <c r="E43" s="178" t="s">
        <v>150</v>
      </c>
    </row>
    <row r="44" ht="68" spans="1:5">
      <c r="A44" s="174"/>
      <c r="B44" s="168" t="s">
        <v>151</v>
      </c>
      <c r="C44" s="168" t="s">
        <v>152</v>
      </c>
      <c r="D44" s="172" t="s">
        <v>153</v>
      </c>
      <c r="E44" s="178" t="s">
        <v>154</v>
      </c>
    </row>
    <row r="45" ht="68" spans="1:5">
      <c r="A45" s="174"/>
      <c r="B45" s="168" t="s">
        <v>155</v>
      </c>
      <c r="C45" s="168" t="s">
        <v>156</v>
      </c>
      <c r="D45" s="172" t="s">
        <v>157</v>
      </c>
      <c r="E45" s="178" t="s">
        <v>158</v>
      </c>
    </row>
    <row r="46" spans="1:5">
      <c r="A46" s="174"/>
      <c r="B46" s="168" t="s">
        <v>159</v>
      </c>
      <c r="C46" s="168" t="s">
        <v>160</v>
      </c>
      <c r="D46" s="166" t="s">
        <v>161</v>
      </c>
      <c r="E46" s="178" t="s">
        <v>162</v>
      </c>
    </row>
    <row r="47" spans="1:5">
      <c r="A47" s="174"/>
      <c r="B47" s="168" t="s">
        <v>163</v>
      </c>
      <c r="C47" s="168" t="s">
        <v>164</v>
      </c>
      <c r="D47" s="166" t="s">
        <v>165</v>
      </c>
      <c r="E47" s="178" t="s">
        <v>166</v>
      </c>
    </row>
    <row r="48" spans="1:5">
      <c r="A48" s="174"/>
      <c r="B48" s="168" t="s">
        <v>167</v>
      </c>
      <c r="C48" s="168" t="s">
        <v>168</v>
      </c>
      <c r="D48" s="166" t="s">
        <v>169</v>
      </c>
      <c r="E48" s="178" t="s">
        <v>170</v>
      </c>
    </row>
    <row r="49" hidden="1" spans="1:5">
      <c r="A49" s="176" t="s">
        <v>171</v>
      </c>
      <c r="B49" s="168" t="s">
        <v>172</v>
      </c>
      <c r="C49" s="168" t="s">
        <v>173</v>
      </c>
      <c r="D49" s="166" t="s">
        <v>174</v>
      </c>
      <c r="E49" s="178" t="s">
        <v>175</v>
      </c>
    </row>
    <row r="50" hidden="1" spans="1:5">
      <c r="A50" s="176"/>
      <c r="B50" s="168" t="s">
        <v>176</v>
      </c>
      <c r="C50" s="168" t="s">
        <v>177</v>
      </c>
      <c r="D50" s="166" t="s">
        <v>178</v>
      </c>
      <c r="E50" s="178" t="s">
        <v>179</v>
      </c>
    </row>
    <row r="51" ht="68" hidden="1" spans="1:5">
      <c r="A51" s="176"/>
      <c r="B51" s="168" t="s">
        <v>180</v>
      </c>
      <c r="C51" s="168" t="s">
        <v>181</v>
      </c>
      <c r="D51" s="172" t="s">
        <v>182</v>
      </c>
      <c r="E51" s="178" t="s">
        <v>183</v>
      </c>
    </row>
    <row r="52" hidden="1" spans="1:5">
      <c r="A52" s="176"/>
      <c r="B52" s="168" t="s">
        <v>184</v>
      </c>
      <c r="C52" s="168" t="s">
        <v>185</v>
      </c>
      <c r="D52" s="166" t="s">
        <v>186</v>
      </c>
      <c r="E52" s="178" t="s">
        <v>187</v>
      </c>
    </row>
    <row r="53" ht="68" hidden="1" spans="1:5">
      <c r="A53" s="176"/>
      <c r="B53" s="168" t="s">
        <v>188</v>
      </c>
      <c r="C53" s="168" t="s">
        <v>189</v>
      </c>
      <c r="D53" s="172" t="s">
        <v>190</v>
      </c>
      <c r="E53" s="178" t="s">
        <v>191</v>
      </c>
    </row>
    <row r="54" hidden="1" spans="1:5">
      <c r="A54" s="176"/>
      <c r="B54" s="168" t="s">
        <v>192</v>
      </c>
      <c r="C54" s="168" t="s">
        <v>193</v>
      </c>
      <c r="D54" s="166" t="s">
        <v>194</v>
      </c>
      <c r="E54" s="178" t="s">
        <v>195</v>
      </c>
    </row>
    <row r="55" ht="68" hidden="1" spans="1:5">
      <c r="A55" s="176"/>
      <c r="B55" s="168" t="s">
        <v>196</v>
      </c>
      <c r="C55" s="168" t="s">
        <v>197</v>
      </c>
      <c r="D55" s="172" t="s">
        <v>198</v>
      </c>
      <c r="E55" s="178" t="s">
        <v>199</v>
      </c>
    </row>
    <row r="56" ht="68" hidden="1" spans="1:5">
      <c r="A56" s="176"/>
      <c r="B56" s="168" t="s">
        <v>200</v>
      </c>
      <c r="C56" s="168" t="s">
        <v>201</v>
      </c>
      <c r="D56" s="172" t="s">
        <v>202</v>
      </c>
      <c r="E56" s="178" t="s">
        <v>203</v>
      </c>
    </row>
    <row r="57" ht="68" hidden="1" spans="1:5">
      <c r="A57" s="176"/>
      <c r="B57" s="168" t="s">
        <v>204</v>
      </c>
      <c r="C57" s="168" t="s">
        <v>205</v>
      </c>
      <c r="D57" s="172" t="s">
        <v>206</v>
      </c>
      <c r="E57" s="178" t="s">
        <v>207</v>
      </c>
    </row>
    <row r="58" ht="68" hidden="1" spans="1:5">
      <c r="A58" s="176"/>
      <c r="B58" s="168" t="s">
        <v>208</v>
      </c>
      <c r="C58" s="168" t="s">
        <v>209</v>
      </c>
      <c r="D58" s="172" t="s">
        <v>210</v>
      </c>
      <c r="E58" s="178" t="s">
        <v>211</v>
      </c>
    </row>
    <row r="59" ht="34" hidden="1" spans="1:5">
      <c r="A59" s="176"/>
      <c r="B59" s="168" t="s">
        <v>212</v>
      </c>
      <c r="C59" s="168" t="s">
        <v>173</v>
      </c>
      <c r="D59" s="175" t="s">
        <v>213</v>
      </c>
      <c r="E59" s="178" t="s">
        <v>214</v>
      </c>
    </row>
    <row r="60" hidden="1" spans="1:5">
      <c r="A60" s="176"/>
      <c r="B60" s="168" t="s">
        <v>215</v>
      </c>
      <c r="C60" s="168" t="s">
        <v>177</v>
      </c>
      <c r="D60" s="166" t="s">
        <v>216</v>
      </c>
      <c r="E60" s="178" t="s">
        <v>217</v>
      </c>
    </row>
    <row r="61" hidden="1" spans="1:5">
      <c r="A61" s="176"/>
      <c r="B61" s="168" t="s">
        <v>218</v>
      </c>
      <c r="C61" s="168" t="s">
        <v>181</v>
      </c>
      <c r="D61" s="166" t="s">
        <v>219</v>
      </c>
      <c r="E61" s="178" t="s">
        <v>220</v>
      </c>
    </row>
    <row r="62" hidden="1" spans="1:5">
      <c r="A62" s="176"/>
      <c r="B62" s="168" t="s">
        <v>221</v>
      </c>
      <c r="C62" s="168" t="s">
        <v>185</v>
      </c>
      <c r="D62" s="166" t="s">
        <v>186</v>
      </c>
      <c r="E62" s="178" t="s">
        <v>222</v>
      </c>
    </row>
    <row r="63" hidden="1" spans="1:5">
      <c r="A63" s="176"/>
      <c r="B63" s="168" t="s">
        <v>223</v>
      </c>
      <c r="C63" s="168" t="s">
        <v>189</v>
      </c>
      <c r="D63" s="166" t="s">
        <v>224</v>
      </c>
      <c r="E63" s="178" t="s">
        <v>225</v>
      </c>
    </row>
    <row r="64" ht="34" hidden="1" spans="1:5">
      <c r="A64" s="176"/>
      <c r="B64" s="168" t="s">
        <v>226</v>
      </c>
      <c r="C64" s="168" t="s">
        <v>193</v>
      </c>
      <c r="D64" s="175" t="s">
        <v>227</v>
      </c>
      <c r="E64" s="178" t="s">
        <v>228</v>
      </c>
    </row>
    <row r="65" hidden="1" spans="1:5">
      <c r="A65" s="176"/>
      <c r="B65" s="168" t="s">
        <v>229</v>
      </c>
      <c r="C65" s="168" t="s">
        <v>197</v>
      </c>
      <c r="D65" s="166" t="s">
        <v>230</v>
      </c>
      <c r="E65" s="178" t="s">
        <v>231</v>
      </c>
    </row>
    <row r="66" ht="51" hidden="1" spans="1:5">
      <c r="A66" s="176"/>
      <c r="B66" s="168" t="s">
        <v>232</v>
      </c>
      <c r="C66" s="168" t="s">
        <v>201</v>
      </c>
      <c r="D66" s="175" t="s">
        <v>233</v>
      </c>
      <c r="E66" s="178" t="s">
        <v>234</v>
      </c>
    </row>
    <row r="67" hidden="1" spans="1:5">
      <c r="A67" s="176"/>
      <c r="B67" s="168" t="s">
        <v>235</v>
      </c>
      <c r="C67" s="168" t="s">
        <v>205</v>
      </c>
      <c r="D67" s="166" t="s">
        <v>236</v>
      </c>
      <c r="E67" s="178" t="s">
        <v>237</v>
      </c>
    </row>
    <row r="68" hidden="1" spans="1:5">
      <c r="A68" s="176"/>
      <c r="B68" s="168" t="s">
        <v>238</v>
      </c>
      <c r="C68" s="168" t="s">
        <v>209</v>
      </c>
      <c r="D68" s="166" t="s">
        <v>239</v>
      </c>
      <c r="E68" s="178" t="s">
        <v>240</v>
      </c>
    </row>
    <row r="69" hidden="1" spans="1:5">
      <c r="A69" s="176"/>
      <c r="B69" s="168" t="s">
        <v>241</v>
      </c>
      <c r="C69" s="168" t="s">
        <v>242</v>
      </c>
      <c r="D69" s="166" t="s">
        <v>243</v>
      </c>
      <c r="E69" s="178" t="s">
        <v>244</v>
      </c>
    </row>
    <row r="70" hidden="1" spans="1:5">
      <c r="A70" s="179" t="s">
        <v>245</v>
      </c>
      <c r="B70" s="168" t="s">
        <v>246</v>
      </c>
      <c r="C70" s="168" t="s">
        <v>181</v>
      </c>
      <c r="D70" s="166" t="s">
        <v>247</v>
      </c>
      <c r="E70" s="178" t="s">
        <v>248</v>
      </c>
    </row>
    <row r="71" hidden="1" spans="1:5">
      <c r="A71" s="179"/>
      <c r="B71" s="168" t="s">
        <v>249</v>
      </c>
      <c r="C71" s="168" t="s">
        <v>185</v>
      </c>
      <c r="D71" s="166" t="s">
        <v>250</v>
      </c>
      <c r="E71" s="178" t="s">
        <v>251</v>
      </c>
    </row>
    <row r="72" hidden="1" spans="1:5">
      <c r="A72" s="179"/>
      <c r="B72" s="168" t="s">
        <v>252</v>
      </c>
      <c r="C72" s="168" t="s">
        <v>205</v>
      </c>
      <c r="D72" s="166" t="s">
        <v>253</v>
      </c>
      <c r="E72" s="178" t="s">
        <v>254</v>
      </c>
    </row>
    <row r="73" ht="168" hidden="1" spans="1:5">
      <c r="A73" s="180" t="s">
        <v>255</v>
      </c>
      <c r="B73" s="168" t="s">
        <v>256</v>
      </c>
      <c r="C73" s="168" t="s">
        <v>257</v>
      </c>
      <c r="D73" s="172" t="s">
        <v>258</v>
      </c>
      <c r="E73" s="178" t="s">
        <v>259</v>
      </c>
    </row>
    <row r="74" ht="168" hidden="1" spans="1:5">
      <c r="A74" s="180"/>
      <c r="B74" s="168" t="s">
        <v>260</v>
      </c>
      <c r="C74" s="168" t="s">
        <v>261</v>
      </c>
      <c r="D74" s="172" t="s">
        <v>262</v>
      </c>
      <c r="E74" s="178" t="s">
        <v>263</v>
      </c>
    </row>
    <row r="75" ht="168" hidden="1" spans="1:5">
      <c r="A75" s="180"/>
      <c r="B75" s="168" t="s">
        <v>264</v>
      </c>
      <c r="C75" s="168" t="s">
        <v>201</v>
      </c>
      <c r="D75" s="172" t="s">
        <v>265</v>
      </c>
      <c r="E75" s="178" t="s">
        <v>266</v>
      </c>
    </row>
    <row r="76" ht="168" hidden="1" spans="1:5">
      <c r="A76" s="180"/>
      <c r="B76" s="168" t="s">
        <v>267</v>
      </c>
      <c r="C76" s="168" t="s">
        <v>189</v>
      </c>
      <c r="D76" s="172" t="s">
        <v>268</v>
      </c>
      <c r="E76" s="178" t="s">
        <v>269</v>
      </c>
    </row>
    <row r="77" ht="168" hidden="1" spans="1:5">
      <c r="A77" s="180"/>
      <c r="B77" s="168" t="s">
        <v>270</v>
      </c>
      <c r="C77" s="168" t="s">
        <v>271</v>
      </c>
      <c r="D77" s="172" t="s">
        <v>272</v>
      </c>
      <c r="E77" s="178" t="s">
        <v>273</v>
      </c>
    </row>
    <row r="78" ht="168" hidden="1" spans="1:5">
      <c r="A78" s="180"/>
      <c r="B78" s="168" t="s">
        <v>274</v>
      </c>
      <c r="C78" s="168" t="s">
        <v>275</v>
      </c>
      <c r="D78" s="172" t="s">
        <v>276</v>
      </c>
      <c r="E78" s="178" t="s">
        <v>277</v>
      </c>
    </row>
    <row r="79" ht="168" hidden="1" spans="1:5">
      <c r="A79" s="180"/>
      <c r="B79" s="168" t="s">
        <v>278</v>
      </c>
      <c r="C79" s="168" t="s">
        <v>279</v>
      </c>
      <c r="D79" s="172" t="s">
        <v>280</v>
      </c>
      <c r="E79" s="178" t="s">
        <v>281</v>
      </c>
    </row>
    <row r="80" ht="168" hidden="1" spans="1:5">
      <c r="A80" s="180"/>
      <c r="B80" s="168" t="s">
        <v>282</v>
      </c>
      <c r="C80" s="168" t="s">
        <v>283</v>
      </c>
      <c r="D80" s="172" t="s">
        <v>284</v>
      </c>
      <c r="E80" s="178" t="s">
        <v>285</v>
      </c>
    </row>
    <row r="81" ht="168" hidden="1" spans="1:5">
      <c r="A81" s="180"/>
      <c r="B81" s="168" t="s">
        <v>286</v>
      </c>
      <c r="C81" s="168" t="s">
        <v>287</v>
      </c>
      <c r="D81" s="172" t="s">
        <v>288</v>
      </c>
      <c r="E81" s="178" t="s">
        <v>289</v>
      </c>
    </row>
    <row r="82" ht="168" hidden="1" spans="1:5">
      <c r="A82" s="181" t="s">
        <v>290</v>
      </c>
      <c r="B82" s="168" t="s">
        <v>291</v>
      </c>
      <c r="C82" s="168" t="s">
        <v>257</v>
      </c>
      <c r="D82" s="175" t="s">
        <v>292</v>
      </c>
      <c r="E82" s="178" t="s">
        <v>293</v>
      </c>
    </row>
    <row r="83" ht="168" hidden="1" spans="1:5">
      <c r="A83" s="182"/>
      <c r="B83" s="168" t="s">
        <v>294</v>
      </c>
      <c r="C83" s="168" t="s">
        <v>261</v>
      </c>
      <c r="D83" s="175" t="s">
        <v>295</v>
      </c>
      <c r="E83" s="178" t="s">
        <v>296</v>
      </c>
    </row>
    <row r="84" hidden="1" spans="1:5">
      <c r="A84" s="182"/>
      <c r="B84" s="168" t="s">
        <v>297</v>
      </c>
      <c r="C84" s="168" t="s">
        <v>201</v>
      </c>
      <c r="D84" s="166" t="s">
        <v>298</v>
      </c>
      <c r="E84" s="178" t="s">
        <v>299</v>
      </c>
    </row>
    <row r="85" hidden="1" spans="1:5">
      <c r="A85" s="182"/>
      <c r="B85" s="168" t="s">
        <v>300</v>
      </c>
      <c r="C85" s="168" t="s">
        <v>189</v>
      </c>
      <c r="D85" s="166" t="s">
        <v>301</v>
      </c>
      <c r="E85" s="178" t="s">
        <v>302</v>
      </c>
    </row>
    <row r="86" ht="168" hidden="1" spans="1:5">
      <c r="A86" s="182"/>
      <c r="B86" s="168" t="s">
        <v>303</v>
      </c>
      <c r="C86" s="168" t="s">
        <v>271</v>
      </c>
      <c r="D86" s="175" t="s">
        <v>304</v>
      </c>
      <c r="E86" s="178" t="s">
        <v>305</v>
      </c>
    </row>
    <row r="87" ht="168" hidden="1" spans="1:5">
      <c r="A87" s="182"/>
      <c r="B87" s="168" t="s">
        <v>306</v>
      </c>
      <c r="C87" s="168" t="s">
        <v>275</v>
      </c>
      <c r="D87" s="175" t="s">
        <v>307</v>
      </c>
      <c r="E87" s="178" t="s">
        <v>308</v>
      </c>
    </row>
    <row r="88" hidden="1" spans="1:5">
      <c r="A88" s="182"/>
      <c r="B88" s="168" t="s">
        <v>309</v>
      </c>
      <c r="C88" s="168" t="s">
        <v>279</v>
      </c>
      <c r="D88" s="166" t="s">
        <v>310</v>
      </c>
      <c r="E88" s="178" t="s">
        <v>311</v>
      </c>
    </row>
    <row r="89" ht="168" hidden="1" spans="1:5">
      <c r="A89" s="182"/>
      <c r="B89" s="168" t="s">
        <v>312</v>
      </c>
      <c r="C89" s="168" t="s">
        <v>283</v>
      </c>
      <c r="D89" s="175" t="s">
        <v>313</v>
      </c>
      <c r="E89" s="178" t="s">
        <v>314</v>
      </c>
    </row>
    <row r="90" hidden="1" spans="1:5">
      <c r="A90" s="182"/>
      <c r="B90" s="168" t="s">
        <v>315</v>
      </c>
      <c r="C90" s="168" t="s">
        <v>287</v>
      </c>
      <c r="D90" s="166" t="s">
        <v>316</v>
      </c>
      <c r="E90" s="178" t="s">
        <v>317</v>
      </c>
    </row>
    <row r="91" ht="168" hidden="1" spans="1:5">
      <c r="A91" s="183" t="s">
        <v>318</v>
      </c>
      <c r="B91" s="168" t="s">
        <v>319</v>
      </c>
      <c r="C91" s="168" t="s">
        <v>257</v>
      </c>
      <c r="D91" s="175" t="s">
        <v>320</v>
      </c>
      <c r="E91" s="178" t="s">
        <v>321</v>
      </c>
    </row>
    <row r="92" ht="168" hidden="1" spans="1:5">
      <c r="A92" s="183"/>
      <c r="B92" s="168" t="s">
        <v>322</v>
      </c>
      <c r="C92" s="168" t="s">
        <v>261</v>
      </c>
      <c r="D92" s="175" t="s">
        <v>323</v>
      </c>
      <c r="E92" s="178" t="s">
        <v>324</v>
      </c>
    </row>
    <row r="93" hidden="1" spans="1:5">
      <c r="A93" s="183"/>
      <c r="B93" s="168" t="s">
        <v>325</v>
      </c>
      <c r="C93" s="168" t="s">
        <v>201</v>
      </c>
      <c r="D93" s="166" t="s">
        <v>298</v>
      </c>
      <c r="E93" s="178" t="s">
        <v>326</v>
      </c>
    </row>
    <row r="94" hidden="1" spans="1:5">
      <c r="A94" s="183"/>
      <c r="B94" s="168" t="s">
        <v>327</v>
      </c>
      <c r="C94" s="168" t="s">
        <v>189</v>
      </c>
      <c r="D94" s="166" t="s">
        <v>301</v>
      </c>
      <c r="E94" s="178" t="s">
        <v>328</v>
      </c>
    </row>
    <row r="95" ht="168" hidden="1" spans="1:5">
      <c r="A95" s="183"/>
      <c r="B95" s="168" t="s">
        <v>329</v>
      </c>
      <c r="C95" s="168" t="s">
        <v>271</v>
      </c>
      <c r="D95" s="175" t="s">
        <v>330</v>
      </c>
      <c r="E95" s="178" t="s">
        <v>331</v>
      </c>
    </row>
    <row r="96" ht="168" hidden="1" spans="1:5">
      <c r="A96" s="183"/>
      <c r="B96" s="168" t="s">
        <v>332</v>
      </c>
      <c r="C96" s="168" t="s">
        <v>275</v>
      </c>
      <c r="D96" s="175" t="s">
        <v>333</v>
      </c>
      <c r="E96" s="178" t="s">
        <v>334</v>
      </c>
    </row>
    <row r="97" hidden="1" spans="1:5">
      <c r="A97" s="183"/>
      <c r="B97" s="168" t="s">
        <v>335</v>
      </c>
      <c r="C97" s="168" t="s">
        <v>279</v>
      </c>
      <c r="D97" s="166" t="s">
        <v>310</v>
      </c>
      <c r="E97" s="178" t="s">
        <v>336</v>
      </c>
    </row>
    <row r="98" ht="168" hidden="1" spans="1:5">
      <c r="A98" s="183"/>
      <c r="B98" s="168" t="s">
        <v>337</v>
      </c>
      <c r="C98" s="168" t="s">
        <v>283</v>
      </c>
      <c r="D98" s="175" t="s">
        <v>338</v>
      </c>
      <c r="E98" s="178" t="s">
        <v>339</v>
      </c>
    </row>
    <row r="99" hidden="1" spans="1:5">
      <c r="A99" s="183"/>
      <c r="B99" s="168" t="s">
        <v>340</v>
      </c>
      <c r="C99" s="168" t="s">
        <v>287</v>
      </c>
      <c r="D99" s="166" t="s">
        <v>316</v>
      </c>
      <c r="E99" s="178" t="s">
        <v>341</v>
      </c>
    </row>
  </sheetData>
  <autoFilter xmlns:etc="http://www.wps.cn/officeDocument/2017/etCustomData" ref="A13:E99" etc:filterBottomFollowUsedRange="0">
    <filterColumn colId="0">
      <filters>
        <filter val="毛利润"/>
      </filters>
    </filterColumn>
    <extLst/>
  </autoFilter>
  <mergeCells count="9">
    <mergeCell ref="A1:A11"/>
    <mergeCell ref="A14:A26"/>
    <mergeCell ref="A27:A37"/>
    <mergeCell ref="A38:A48"/>
    <mergeCell ref="A49:A69"/>
    <mergeCell ref="A70:A72"/>
    <mergeCell ref="A73:A81"/>
    <mergeCell ref="A82:A90"/>
    <mergeCell ref="A91:A9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opLeftCell="A16" workbookViewId="0">
      <selection activeCell="A28" sqref="A28"/>
    </sheetView>
  </sheetViews>
  <sheetFormatPr defaultColWidth="9.23076923076923" defaultRowHeight="16.8" outlineLevelCol="1"/>
  <cols>
    <col min="1" max="1" width="6.07692307692308" customWidth="1"/>
    <col min="2" max="2" width="38.3846153846154" customWidth="1"/>
    <col min="3" max="3" width="28.0769230769231" customWidth="1"/>
    <col min="4" max="4" width="10.3076923076923" customWidth="1"/>
  </cols>
  <sheetData>
    <row r="1" spans="1:2">
      <c r="A1" t="s">
        <v>342</v>
      </c>
      <c r="B1" t="s">
        <v>14</v>
      </c>
    </row>
    <row r="2" spans="1:2">
      <c r="A2" t="s">
        <v>343</v>
      </c>
      <c r="B2" t="s">
        <v>344</v>
      </c>
    </row>
    <row r="3" spans="1:2">
      <c r="A3" t="s">
        <v>345</v>
      </c>
      <c r="B3" t="s">
        <v>346</v>
      </c>
    </row>
    <row r="4" spans="1:2">
      <c r="A4" t="s">
        <v>347</v>
      </c>
      <c r="B4" t="s">
        <v>348</v>
      </c>
    </row>
    <row r="5" spans="1:2">
      <c r="A5" t="s">
        <v>349</v>
      </c>
      <c r="B5" t="s">
        <v>350</v>
      </c>
    </row>
    <row r="6" spans="1:2">
      <c r="A6" t="s">
        <v>351</v>
      </c>
      <c r="B6" t="s">
        <v>352</v>
      </c>
    </row>
    <row r="7" spans="1:2">
      <c r="A7" t="s">
        <v>353</v>
      </c>
      <c r="B7" t="s">
        <v>354</v>
      </c>
    </row>
    <row r="8" spans="1:2">
      <c r="A8" t="s">
        <v>355</v>
      </c>
      <c r="B8" t="s">
        <v>356</v>
      </c>
    </row>
    <row r="9" spans="1:2">
      <c r="A9" t="s">
        <v>357</v>
      </c>
      <c r="B9" t="s">
        <v>358</v>
      </c>
    </row>
    <row r="10" spans="1:2">
      <c r="A10" t="s">
        <v>359</v>
      </c>
      <c r="B10" t="s">
        <v>360</v>
      </c>
    </row>
    <row r="11" spans="1:2">
      <c r="A11" t="s">
        <v>361</v>
      </c>
      <c r="B11" t="s">
        <v>362</v>
      </c>
    </row>
    <row r="12" spans="1:2">
      <c r="A12" t="s">
        <v>363</v>
      </c>
      <c r="B12" t="s">
        <v>364</v>
      </c>
    </row>
    <row r="13" spans="1:2">
      <c r="A13" t="s">
        <v>365</v>
      </c>
      <c r="B13" t="s">
        <v>366</v>
      </c>
    </row>
    <row r="14" spans="1:2">
      <c r="A14" t="s">
        <v>367</v>
      </c>
      <c r="B14" t="s">
        <v>368</v>
      </c>
    </row>
    <row r="15" spans="1:2">
      <c r="A15" t="s">
        <v>369</v>
      </c>
      <c r="B15" t="s">
        <v>370</v>
      </c>
    </row>
    <row r="16" spans="1:2">
      <c r="A16" t="s">
        <v>371</v>
      </c>
      <c r="B16" t="s">
        <v>372</v>
      </c>
    </row>
    <row r="17" spans="1:2">
      <c r="A17" t="s">
        <v>373</v>
      </c>
      <c r="B17" t="s">
        <v>374</v>
      </c>
    </row>
    <row r="18" spans="1:2">
      <c r="A18" t="s">
        <v>375</v>
      </c>
      <c r="B18" t="s">
        <v>376</v>
      </c>
    </row>
    <row r="19" spans="1:2">
      <c r="A19" t="s">
        <v>377</v>
      </c>
      <c r="B19" t="s">
        <v>378</v>
      </c>
    </row>
    <row r="20" spans="1:2">
      <c r="A20" t="s">
        <v>379</v>
      </c>
      <c r="B20" t="s">
        <v>380</v>
      </c>
    </row>
    <row r="21" spans="1:2">
      <c r="A21" t="s">
        <v>381</v>
      </c>
      <c r="B21" t="s">
        <v>382</v>
      </c>
    </row>
    <row r="22" spans="1:2">
      <c r="A22" t="s">
        <v>383</v>
      </c>
      <c r="B22" t="s">
        <v>384</v>
      </c>
    </row>
    <row r="23" spans="1:2">
      <c r="A23" t="s">
        <v>385</v>
      </c>
      <c r="B23" t="s">
        <v>386</v>
      </c>
    </row>
    <row r="24" spans="1:2">
      <c r="A24" t="s">
        <v>387</v>
      </c>
      <c r="B24" t="s">
        <v>388</v>
      </c>
    </row>
    <row r="25" spans="1:2">
      <c r="A25" t="s">
        <v>389</v>
      </c>
      <c r="B25" t="s">
        <v>390</v>
      </c>
    </row>
    <row r="26" spans="1:2">
      <c r="A26" t="s">
        <v>391</v>
      </c>
      <c r="B26" t="s">
        <v>392</v>
      </c>
    </row>
    <row r="27" spans="1:2">
      <c r="A27" t="s">
        <v>393</v>
      </c>
      <c r="B27" t="s">
        <v>394</v>
      </c>
    </row>
    <row r="28" spans="1:2">
      <c r="A28" t="s">
        <v>395</v>
      </c>
      <c r="B28" t="s">
        <v>209</v>
      </c>
    </row>
    <row r="29" spans="1:2">
      <c r="A29" t="s">
        <v>396</v>
      </c>
      <c r="B29" t="s">
        <v>39</v>
      </c>
    </row>
    <row r="30" spans="1:2">
      <c r="A30" t="s">
        <v>397</v>
      </c>
      <c r="B30" t="s">
        <v>43</v>
      </c>
    </row>
    <row r="31" spans="1:2">
      <c r="A31" t="s">
        <v>398</v>
      </c>
      <c r="B31" t="s">
        <v>47</v>
      </c>
    </row>
    <row r="32" spans="1:2">
      <c r="A32" t="s">
        <v>399</v>
      </c>
      <c r="B32" t="s">
        <v>400</v>
      </c>
    </row>
    <row r="33" spans="1:2">
      <c r="A33" t="s">
        <v>401</v>
      </c>
      <c r="B33" t="s">
        <v>402</v>
      </c>
    </row>
    <row r="34" spans="1:2">
      <c r="A34" t="s">
        <v>403</v>
      </c>
      <c r="B34" t="s">
        <v>404</v>
      </c>
    </row>
    <row r="35" spans="1:2">
      <c r="A35" t="s">
        <v>405</v>
      </c>
      <c r="B35" t="s">
        <v>71</v>
      </c>
    </row>
    <row r="36" spans="1:2">
      <c r="A36" t="s">
        <v>406</v>
      </c>
      <c r="B36" t="s">
        <v>407</v>
      </c>
    </row>
    <row r="37" spans="1:2">
      <c r="A37" t="s">
        <v>408</v>
      </c>
      <c r="B37" t="s">
        <v>51</v>
      </c>
    </row>
    <row r="38" spans="1:2">
      <c r="A38" t="s">
        <v>409</v>
      </c>
      <c r="B38" t="s">
        <v>410</v>
      </c>
    </row>
    <row r="39" spans="1:2">
      <c r="A39" t="s">
        <v>411</v>
      </c>
      <c r="B39" t="s">
        <v>412</v>
      </c>
    </row>
    <row r="40" spans="1:2">
      <c r="A40" t="s">
        <v>413</v>
      </c>
      <c r="B40" t="s">
        <v>414</v>
      </c>
    </row>
    <row r="41" spans="1:2">
      <c r="A41" t="s">
        <v>415</v>
      </c>
      <c r="B41" t="s">
        <v>416</v>
      </c>
    </row>
    <row r="42" spans="1:2">
      <c r="A42" t="s">
        <v>417</v>
      </c>
      <c r="B42" t="s">
        <v>418</v>
      </c>
    </row>
    <row r="43" spans="1:2">
      <c r="A43" t="s">
        <v>419</v>
      </c>
      <c r="B43" t="s">
        <v>420</v>
      </c>
    </row>
    <row r="44" spans="1:2">
      <c r="A44" t="s">
        <v>421</v>
      </c>
      <c r="B44" t="s">
        <v>422</v>
      </c>
    </row>
    <row r="45" spans="1:2">
      <c r="A45" t="s">
        <v>423</v>
      </c>
      <c r="B45" t="s">
        <v>424</v>
      </c>
    </row>
    <row r="46" spans="1:2">
      <c r="A46" t="s">
        <v>425</v>
      </c>
      <c r="B46" t="s">
        <v>426</v>
      </c>
    </row>
    <row r="47" spans="1:2">
      <c r="A47" t="s">
        <v>427</v>
      </c>
      <c r="B47" t="s">
        <v>428</v>
      </c>
    </row>
    <row r="48" spans="1:2">
      <c r="A48" t="s">
        <v>429</v>
      </c>
      <c r="B48" t="s">
        <v>35</v>
      </c>
    </row>
    <row r="49" spans="1:2">
      <c r="A49" t="s">
        <v>430</v>
      </c>
      <c r="B49" t="s">
        <v>431</v>
      </c>
    </row>
    <row r="50" spans="1:2">
      <c r="A50" t="s">
        <v>432</v>
      </c>
      <c r="B50" t="s">
        <v>433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B13" sqref="B13"/>
    </sheetView>
  </sheetViews>
  <sheetFormatPr defaultColWidth="9.23076923076923" defaultRowHeight="16.8" outlineLevelCol="1"/>
  <cols>
    <col min="1" max="1" width="4.61538461538461" customWidth="1"/>
    <col min="2" max="2" width="22.4615384615385" customWidth="1"/>
  </cols>
  <sheetData>
    <row r="1" spans="1:2">
      <c r="A1" t="s">
        <v>434</v>
      </c>
      <c r="B1" t="s">
        <v>435</v>
      </c>
    </row>
    <row r="2" spans="1:2">
      <c r="A2" t="s">
        <v>436</v>
      </c>
      <c r="B2" t="s">
        <v>437</v>
      </c>
    </row>
    <row r="3" spans="1:2">
      <c r="A3" t="s">
        <v>438</v>
      </c>
      <c r="B3" t="s">
        <v>439</v>
      </c>
    </row>
    <row r="4" spans="1:2">
      <c r="A4" t="s">
        <v>440</v>
      </c>
      <c r="B4" t="s">
        <v>439</v>
      </c>
    </row>
    <row r="5" spans="1:2">
      <c r="A5" t="s">
        <v>441</v>
      </c>
      <c r="B5" t="s">
        <v>79</v>
      </c>
    </row>
    <row r="6" spans="1:2">
      <c r="A6" t="s">
        <v>442</v>
      </c>
      <c r="B6" t="s">
        <v>443</v>
      </c>
    </row>
    <row r="7" spans="1:2">
      <c r="A7" t="s">
        <v>444</v>
      </c>
      <c r="B7" t="s">
        <v>445</v>
      </c>
    </row>
    <row r="8" spans="1:2">
      <c r="A8" t="s">
        <v>446</v>
      </c>
      <c r="B8" t="s">
        <v>447</v>
      </c>
    </row>
    <row r="9" spans="1:2">
      <c r="A9" t="s">
        <v>448</v>
      </c>
      <c r="B9" t="s">
        <v>449</v>
      </c>
    </row>
    <row r="10" spans="1:2">
      <c r="A10" t="s">
        <v>450</v>
      </c>
      <c r="B10" t="s">
        <v>451</v>
      </c>
    </row>
    <row r="11" spans="1:2">
      <c r="A11" t="s">
        <v>452</v>
      </c>
      <c r="B11" t="s">
        <v>453</v>
      </c>
    </row>
    <row r="12" spans="1:2">
      <c r="A12" t="s">
        <v>454</v>
      </c>
      <c r="B12" t="s">
        <v>455</v>
      </c>
    </row>
    <row r="13" spans="1:2">
      <c r="A13" t="s">
        <v>456</v>
      </c>
      <c r="B13" t="s">
        <v>457</v>
      </c>
    </row>
    <row r="14" spans="1:2">
      <c r="A14" t="s">
        <v>458</v>
      </c>
      <c r="B14" t="s">
        <v>459</v>
      </c>
    </row>
    <row r="15" spans="1:2">
      <c r="A15" t="s">
        <v>460</v>
      </c>
      <c r="B15" t="s">
        <v>461</v>
      </c>
    </row>
    <row r="16" spans="1:2">
      <c r="A16" t="s">
        <v>462</v>
      </c>
      <c r="B16" t="s">
        <v>463</v>
      </c>
    </row>
    <row r="17" spans="1:2">
      <c r="A17" t="s">
        <v>464</v>
      </c>
      <c r="B17" t="s">
        <v>465</v>
      </c>
    </row>
    <row r="18" spans="1:2">
      <c r="A18" t="s">
        <v>466</v>
      </c>
      <c r="B18" t="s">
        <v>467</v>
      </c>
    </row>
    <row r="19" spans="1:2">
      <c r="A19" t="s">
        <v>468</v>
      </c>
      <c r="B19" t="s">
        <v>469</v>
      </c>
    </row>
    <row r="20" spans="1:2">
      <c r="A20" t="s">
        <v>470</v>
      </c>
      <c r="B20" t="s">
        <v>471</v>
      </c>
    </row>
    <row r="21" spans="1:2">
      <c r="A21" t="s">
        <v>472</v>
      </c>
      <c r="B21" t="s">
        <v>473</v>
      </c>
    </row>
    <row r="22" spans="1:2">
      <c r="A22" t="s">
        <v>474</v>
      </c>
      <c r="B22" t="s">
        <v>475</v>
      </c>
    </row>
    <row r="23" spans="1:2">
      <c r="A23" t="s">
        <v>476</v>
      </c>
      <c r="B23" t="s">
        <v>477</v>
      </c>
    </row>
    <row r="24" spans="1:2">
      <c r="A24" t="s">
        <v>478</v>
      </c>
      <c r="B24" t="s">
        <v>479</v>
      </c>
    </row>
    <row r="25" spans="1:2">
      <c r="A25" t="s">
        <v>480</v>
      </c>
      <c r="B25" t="s">
        <v>481</v>
      </c>
    </row>
    <row r="26" spans="1:2">
      <c r="A26" t="s">
        <v>482</v>
      </c>
      <c r="B26" t="s">
        <v>483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B15" sqref="B15"/>
    </sheetView>
  </sheetViews>
  <sheetFormatPr defaultColWidth="9.23076923076923" defaultRowHeight="16.8" outlineLevelCol="1"/>
  <cols>
    <col min="1" max="1" width="4.61538461538461" customWidth="1"/>
    <col min="2" max="2" width="24.5384615384615" customWidth="1"/>
  </cols>
  <sheetData>
    <row r="1" spans="1:2">
      <c r="A1" t="s">
        <v>342</v>
      </c>
      <c r="B1" t="s">
        <v>14</v>
      </c>
    </row>
    <row r="2" spans="1:2">
      <c r="A2" t="s">
        <v>343</v>
      </c>
      <c r="B2" t="s">
        <v>484</v>
      </c>
    </row>
    <row r="3" spans="1:2">
      <c r="A3" t="s">
        <v>345</v>
      </c>
      <c r="B3" t="s">
        <v>485</v>
      </c>
    </row>
    <row r="4" spans="1:2">
      <c r="A4" t="s">
        <v>347</v>
      </c>
      <c r="B4" t="s">
        <v>486</v>
      </c>
    </row>
    <row r="5" spans="1:2">
      <c r="A5" t="s">
        <v>349</v>
      </c>
      <c r="B5" t="s">
        <v>487</v>
      </c>
    </row>
    <row r="6" spans="1:2">
      <c r="A6" t="s">
        <v>351</v>
      </c>
      <c r="B6" t="s">
        <v>488</v>
      </c>
    </row>
    <row r="7" spans="1:2">
      <c r="A7" t="s">
        <v>353</v>
      </c>
      <c r="B7" t="s">
        <v>489</v>
      </c>
    </row>
    <row r="8" spans="1:2">
      <c r="A8" t="s">
        <v>355</v>
      </c>
      <c r="B8" t="s">
        <v>490</v>
      </c>
    </row>
    <row r="9" spans="1:2">
      <c r="A9" t="s">
        <v>357</v>
      </c>
      <c r="B9" t="s">
        <v>491</v>
      </c>
    </row>
    <row r="10" spans="1:2">
      <c r="A10" t="s">
        <v>359</v>
      </c>
      <c r="B10" t="s">
        <v>492</v>
      </c>
    </row>
    <row r="11" spans="1:2">
      <c r="A11" t="s">
        <v>361</v>
      </c>
      <c r="B11" t="s">
        <v>493</v>
      </c>
    </row>
    <row r="12" spans="1:2">
      <c r="A12" t="s">
        <v>363</v>
      </c>
      <c r="B12" t="s">
        <v>494</v>
      </c>
    </row>
    <row r="13" spans="1:2">
      <c r="A13" t="s">
        <v>365</v>
      </c>
      <c r="B13" t="s">
        <v>495</v>
      </c>
    </row>
    <row r="14" spans="1:2">
      <c r="A14" t="s">
        <v>367</v>
      </c>
      <c r="B14" t="s">
        <v>496</v>
      </c>
    </row>
    <row r="15" spans="1:2">
      <c r="A15" t="s">
        <v>369</v>
      </c>
      <c r="B15" t="s">
        <v>497</v>
      </c>
    </row>
    <row r="16" spans="1:2">
      <c r="A16" t="s">
        <v>371</v>
      </c>
      <c r="B16" t="s">
        <v>498</v>
      </c>
    </row>
    <row r="17" spans="1:2">
      <c r="A17" t="s">
        <v>373</v>
      </c>
      <c r="B17" t="s">
        <v>499</v>
      </c>
    </row>
    <row r="18" spans="1:2">
      <c r="A18" t="s">
        <v>375</v>
      </c>
      <c r="B18" t="s">
        <v>500</v>
      </c>
    </row>
    <row r="19" spans="1:2">
      <c r="A19" t="s">
        <v>377</v>
      </c>
      <c r="B19" t="s">
        <v>501</v>
      </c>
    </row>
    <row r="20" spans="1:2">
      <c r="A20" t="s">
        <v>379</v>
      </c>
      <c r="B20" t="s">
        <v>502</v>
      </c>
    </row>
    <row r="21" spans="1:2">
      <c r="A21" t="s">
        <v>381</v>
      </c>
      <c r="B21" t="s">
        <v>503</v>
      </c>
    </row>
    <row r="22" spans="1:2">
      <c r="A22" t="s">
        <v>383</v>
      </c>
      <c r="B22" t="s">
        <v>504</v>
      </c>
    </row>
    <row r="23" spans="1:2">
      <c r="A23" t="s">
        <v>385</v>
      </c>
      <c r="B23" t="s">
        <v>505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15" sqref="B15"/>
    </sheetView>
  </sheetViews>
  <sheetFormatPr defaultColWidth="9.23076923076923" defaultRowHeight="16.8" outlineLevelCol="1"/>
  <cols>
    <col min="1" max="1" width="5.84615384615385" customWidth="1"/>
    <col min="2" max="2" width="45.7692307692308" customWidth="1"/>
    <col min="3" max="3" width="37.4615384615385" customWidth="1"/>
  </cols>
  <sheetData>
    <row r="1" spans="1:2">
      <c r="A1" t="s">
        <v>342</v>
      </c>
      <c r="B1" t="s">
        <v>14</v>
      </c>
    </row>
    <row r="2" spans="1:2">
      <c r="A2" t="s">
        <v>343</v>
      </c>
      <c r="B2" t="s">
        <v>484</v>
      </c>
    </row>
    <row r="3" spans="1:2">
      <c r="A3" t="s">
        <v>345</v>
      </c>
      <c r="B3" t="s">
        <v>485</v>
      </c>
    </row>
    <row r="4" spans="1:2">
      <c r="A4" t="s">
        <v>347</v>
      </c>
      <c r="B4" t="s">
        <v>486</v>
      </c>
    </row>
    <row r="5" spans="1:2">
      <c r="A5" t="s">
        <v>349</v>
      </c>
      <c r="B5" t="s">
        <v>506</v>
      </c>
    </row>
    <row r="6" spans="1:2">
      <c r="A6" t="s">
        <v>351</v>
      </c>
      <c r="B6" t="s">
        <v>487</v>
      </c>
    </row>
    <row r="7" spans="1:2">
      <c r="A7" t="s">
        <v>353</v>
      </c>
      <c r="B7" t="s">
        <v>507</v>
      </c>
    </row>
    <row r="8" spans="1:2">
      <c r="A8" t="s">
        <v>355</v>
      </c>
      <c r="B8" t="s">
        <v>508</v>
      </c>
    </row>
    <row r="9" spans="1:2">
      <c r="A9" t="s">
        <v>357</v>
      </c>
      <c r="B9" t="s">
        <v>490</v>
      </c>
    </row>
    <row r="10" spans="1:2">
      <c r="A10" t="s">
        <v>359</v>
      </c>
      <c r="B10" t="s">
        <v>491</v>
      </c>
    </row>
    <row r="11" spans="1:2">
      <c r="A11" t="s">
        <v>361</v>
      </c>
      <c r="B11" t="s">
        <v>509</v>
      </c>
    </row>
    <row r="12" spans="1:2">
      <c r="A12" t="s">
        <v>363</v>
      </c>
      <c r="B12" t="s">
        <v>492</v>
      </c>
    </row>
    <row r="13" spans="1:2">
      <c r="A13" t="s">
        <v>365</v>
      </c>
      <c r="B13" t="s">
        <v>493</v>
      </c>
    </row>
    <row r="14" spans="1:2">
      <c r="A14" t="s">
        <v>367</v>
      </c>
      <c r="B14" t="s">
        <v>510</v>
      </c>
    </row>
    <row r="15" spans="1:2">
      <c r="A15" t="s">
        <v>369</v>
      </c>
      <c r="B15" t="s">
        <v>495</v>
      </c>
    </row>
    <row r="16" spans="1:2">
      <c r="A16" t="s">
        <v>371</v>
      </c>
      <c r="B16" t="s">
        <v>494</v>
      </c>
    </row>
    <row r="17" spans="1:2">
      <c r="A17" t="s">
        <v>373</v>
      </c>
      <c r="B17" t="s">
        <v>511</v>
      </c>
    </row>
    <row r="18" spans="1:2">
      <c r="A18" t="s">
        <v>375</v>
      </c>
      <c r="B18" t="s">
        <v>512</v>
      </c>
    </row>
    <row r="19" spans="1:2">
      <c r="A19" t="s">
        <v>377</v>
      </c>
      <c r="B19" t="s">
        <v>513</v>
      </c>
    </row>
    <row r="20" spans="1:2">
      <c r="A20" t="s">
        <v>379</v>
      </c>
      <c r="B20" t="s">
        <v>514</v>
      </c>
    </row>
    <row r="21" spans="1:2">
      <c r="A21" t="s">
        <v>381</v>
      </c>
      <c r="B21" t="s">
        <v>515</v>
      </c>
    </row>
    <row r="22" spans="1:2">
      <c r="A22" t="s">
        <v>383</v>
      </c>
      <c r="B22" t="s">
        <v>516</v>
      </c>
    </row>
    <row r="23" spans="1:2">
      <c r="A23" t="s">
        <v>385</v>
      </c>
      <c r="B23" t="s">
        <v>517</v>
      </c>
    </row>
    <row r="24" spans="1:2">
      <c r="A24" t="s">
        <v>387</v>
      </c>
      <c r="B24" t="s">
        <v>518</v>
      </c>
    </row>
    <row r="25" spans="1:2">
      <c r="A25" t="s">
        <v>389</v>
      </c>
      <c r="B25" t="s">
        <v>519</v>
      </c>
    </row>
    <row r="26" spans="1:2">
      <c r="A26" t="s">
        <v>391</v>
      </c>
      <c r="B26" t="s">
        <v>520</v>
      </c>
    </row>
    <row r="27" spans="1:2">
      <c r="A27" t="s">
        <v>393</v>
      </c>
      <c r="B27" t="s">
        <v>521</v>
      </c>
    </row>
    <row r="28" spans="1:2">
      <c r="A28" t="s">
        <v>395</v>
      </c>
      <c r="B28" t="s">
        <v>522</v>
      </c>
    </row>
    <row r="29" spans="1:2">
      <c r="A29" t="s">
        <v>396</v>
      </c>
      <c r="B29" t="s">
        <v>523</v>
      </c>
    </row>
    <row r="30" spans="1:2">
      <c r="A30" t="s">
        <v>397</v>
      </c>
      <c r="B30" t="s">
        <v>524</v>
      </c>
    </row>
    <row r="31" spans="1:2">
      <c r="A31" t="s">
        <v>398</v>
      </c>
      <c r="B31" t="s">
        <v>525</v>
      </c>
    </row>
    <row r="32" spans="1:2">
      <c r="A32" t="s">
        <v>399</v>
      </c>
      <c r="B32" t="s">
        <v>526</v>
      </c>
    </row>
    <row r="33" spans="1:2">
      <c r="A33" t="s">
        <v>401</v>
      </c>
      <c r="B33" t="s">
        <v>527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workbookViewId="0">
      <selection activeCell="B15" sqref="B15"/>
    </sheetView>
  </sheetViews>
  <sheetFormatPr defaultColWidth="9.23076923076923" defaultRowHeight="16.8" outlineLevelCol="1"/>
  <cols>
    <col min="1" max="1" width="6.07692307692308" customWidth="1"/>
    <col min="2" max="2" width="42.3076923076923" customWidth="1"/>
    <col min="3" max="3" width="37.4615384615385" customWidth="1"/>
  </cols>
  <sheetData>
    <row r="1" spans="1:2">
      <c r="A1" t="s">
        <v>342</v>
      </c>
      <c r="B1" t="s">
        <v>528</v>
      </c>
    </row>
    <row r="2" spans="1:2">
      <c r="A2" t="s">
        <v>343</v>
      </c>
      <c r="B2" t="s">
        <v>14</v>
      </c>
    </row>
    <row r="3" spans="1:2">
      <c r="A3" t="s">
        <v>345</v>
      </c>
      <c r="B3" t="s">
        <v>484</v>
      </c>
    </row>
    <row r="4" spans="1:2">
      <c r="A4" t="s">
        <v>347</v>
      </c>
      <c r="B4" t="s">
        <v>485</v>
      </c>
    </row>
    <row r="5" spans="1:2">
      <c r="A5" t="s">
        <v>349</v>
      </c>
      <c r="B5" t="s">
        <v>486</v>
      </c>
    </row>
    <row r="6" spans="1:2">
      <c r="A6" t="s">
        <v>351</v>
      </c>
      <c r="B6" t="s">
        <v>506</v>
      </c>
    </row>
    <row r="7" spans="1:2">
      <c r="A7" t="s">
        <v>353</v>
      </c>
      <c r="B7" t="s">
        <v>529</v>
      </c>
    </row>
    <row r="8" spans="1:2">
      <c r="A8" t="s">
        <v>355</v>
      </c>
      <c r="B8" t="s">
        <v>491</v>
      </c>
    </row>
    <row r="9" spans="1:2">
      <c r="A9" t="s">
        <v>357</v>
      </c>
      <c r="B9" t="s">
        <v>492</v>
      </c>
    </row>
    <row r="10" spans="1:2">
      <c r="A10" t="s">
        <v>359</v>
      </c>
      <c r="B10" t="s">
        <v>493</v>
      </c>
    </row>
    <row r="11" spans="1:2">
      <c r="A11" t="s">
        <v>361</v>
      </c>
      <c r="B11" t="s">
        <v>494</v>
      </c>
    </row>
    <row r="12" spans="1:2">
      <c r="A12" t="s">
        <v>363</v>
      </c>
      <c r="B12" t="s">
        <v>495</v>
      </c>
    </row>
    <row r="13" spans="1:2">
      <c r="A13" t="s">
        <v>365</v>
      </c>
      <c r="B13" t="s">
        <v>512</v>
      </c>
    </row>
    <row r="14" spans="1:2">
      <c r="A14" t="s">
        <v>367</v>
      </c>
      <c r="B14" t="s">
        <v>513</v>
      </c>
    </row>
    <row r="15" spans="1:2">
      <c r="A15" t="s">
        <v>369</v>
      </c>
      <c r="B15" t="s">
        <v>516</v>
      </c>
    </row>
    <row r="16" spans="1:2">
      <c r="A16" t="s">
        <v>371</v>
      </c>
      <c r="B16" t="s">
        <v>530</v>
      </c>
    </row>
    <row r="17" spans="1:2">
      <c r="A17" t="s">
        <v>373</v>
      </c>
      <c r="B17" t="s">
        <v>515</v>
      </c>
    </row>
    <row r="18" spans="1:2">
      <c r="A18" t="s">
        <v>375</v>
      </c>
      <c r="B18" t="s">
        <v>531</v>
      </c>
    </row>
    <row r="19" spans="1:2">
      <c r="A19" t="s">
        <v>377</v>
      </c>
      <c r="B19" t="s">
        <v>509</v>
      </c>
    </row>
    <row r="20" spans="1:2">
      <c r="A20" t="s">
        <v>379</v>
      </c>
      <c r="B20" t="s">
        <v>511</v>
      </c>
    </row>
    <row r="21" spans="1:2">
      <c r="A21" t="s">
        <v>381</v>
      </c>
      <c r="B21" t="s">
        <v>532</v>
      </c>
    </row>
    <row r="22" spans="1:2">
      <c r="A22" t="s">
        <v>383</v>
      </c>
      <c r="B22" t="s">
        <v>533</v>
      </c>
    </row>
    <row r="23" spans="1:2">
      <c r="A23" t="s">
        <v>385</v>
      </c>
      <c r="B23" t="s">
        <v>534</v>
      </c>
    </row>
    <row r="24" spans="1:2">
      <c r="A24" t="s">
        <v>387</v>
      </c>
      <c r="B24" t="s">
        <v>535</v>
      </c>
    </row>
    <row r="25" spans="1:2">
      <c r="A25" t="s">
        <v>389</v>
      </c>
      <c r="B25" t="s">
        <v>536</v>
      </c>
    </row>
    <row r="26" spans="1:2">
      <c r="A26" t="s">
        <v>391</v>
      </c>
      <c r="B26" t="s">
        <v>537</v>
      </c>
    </row>
    <row r="27" spans="1:2">
      <c r="A27" t="s">
        <v>393</v>
      </c>
      <c r="B27" t="s">
        <v>538</v>
      </c>
    </row>
    <row r="28" spans="1:2">
      <c r="A28" t="s">
        <v>395</v>
      </c>
      <c r="B28" t="s">
        <v>539</v>
      </c>
    </row>
    <row r="29" spans="1:2">
      <c r="A29" t="s">
        <v>396</v>
      </c>
      <c r="B29" t="s">
        <v>540</v>
      </c>
    </row>
    <row r="30" spans="1:2">
      <c r="A30" t="s">
        <v>397</v>
      </c>
      <c r="B30" t="s">
        <v>541</v>
      </c>
    </row>
    <row r="31" spans="1:2">
      <c r="A31" t="s">
        <v>398</v>
      </c>
      <c r="B31" t="s">
        <v>510</v>
      </c>
    </row>
    <row r="32" spans="1:2">
      <c r="A32" t="s">
        <v>399</v>
      </c>
      <c r="B32" t="s">
        <v>517</v>
      </c>
    </row>
    <row r="33" spans="1:2">
      <c r="A33" t="s">
        <v>401</v>
      </c>
      <c r="B33" t="s">
        <v>542</v>
      </c>
    </row>
    <row r="34" spans="1:2">
      <c r="A34" t="s">
        <v>403</v>
      </c>
      <c r="B34" t="s">
        <v>518</v>
      </c>
    </row>
    <row r="35" spans="1:2">
      <c r="A35" t="s">
        <v>405</v>
      </c>
      <c r="B35" t="s">
        <v>543</v>
      </c>
    </row>
    <row r="36" spans="1:2">
      <c r="A36" t="s">
        <v>406</v>
      </c>
      <c r="B36" t="s">
        <v>519</v>
      </c>
    </row>
    <row r="37" spans="1:2">
      <c r="A37" t="s">
        <v>408</v>
      </c>
      <c r="B37" t="s">
        <v>544</v>
      </c>
    </row>
    <row r="38" spans="1:2">
      <c r="A38" t="s">
        <v>409</v>
      </c>
      <c r="B38" t="s">
        <v>545</v>
      </c>
    </row>
    <row r="39" spans="1:2">
      <c r="A39" t="s">
        <v>411</v>
      </c>
      <c r="B39" t="s">
        <v>546</v>
      </c>
    </row>
    <row r="40" spans="1:2">
      <c r="A40" t="s">
        <v>413</v>
      </c>
      <c r="B40" t="s">
        <v>547</v>
      </c>
    </row>
    <row r="41" spans="1:2">
      <c r="A41" t="s">
        <v>415</v>
      </c>
      <c r="B41" t="s">
        <v>548</v>
      </c>
    </row>
    <row r="42" spans="1:2">
      <c r="A42" t="s">
        <v>417</v>
      </c>
      <c r="B42" t="s">
        <v>549</v>
      </c>
    </row>
    <row r="43" spans="1:2">
      <c r="A43" t="s">
        <v>419</v>
      </c>
      <c r="B43" t="s">
        <v>550</v>
      </c>
    </row>
    <row r="44" spans="1:2">
      <c r="A44" t="s">
        <v>421</v>
      </c>
      <c r="B44" t="s">
        <v>551</v>
      </c>
    </row>
    <row r="45" spans="1:2">
      <c r="A45" t="s">
        <v>423</v>
      </c>
      <c r="B45" t="s">
        <v>552</v>
      </c>
    </row>
    <row r="46" spans="1:2">
      <c r="A46" t="s">
        <v>425</v>
      </c>
      <c r="B46" t="s">
        <v>553</v>
      </c>
    </row>
    <row r="47" spans="1:2">
      <c r="A47" t="s">
        <v>427</v>
      </c>
      <c r="B47" t="s">
        <v>554</v>
      </c>
    </row>
    <row r="48" spans="1:2">
      <c r="A48" t="s">
        <v>429</v>
      </c>
      <c r="B48" t="s">
        <v>555</v>
      </c>
    </row>
    <row r="49" spans="1:2">
      <c r="A49" t="s">
        <v>430</v>
      </c>
      <c r="B49" t="s">
        <v>556</v>
      </c>
    </row>
    <row r="50" spans="1:2">
      <c r="A50" t="s">
        <v>432</v>
      </c>
      <c r="B50" t="s">
        <v>557</v>
      </c>
    </row>
    <row r="51" spans="1:2">
      <c r="A51" t="s">
        <v>558</v>
      </c>
      <c r="B51" t="s">
        <v>559</v>
      </c>
    </row>
    <row r="52" spans="1:2">
      <c r="A52" t="s">
        <v>560</v>
      </c>
      <c r="B52" t="s">
        <v>561</v>
      </c>
    </row>
    <row r="53" spans="1:2">
      <c r="A53" t="s">
        <v>562</v>
      </c>
      <c r="B53" t="s">
        <v>563</v>
      </c>
    </row>
    <row r="54" spans="1:2">
      <c r="A54" t="s">
        <v>564</v>
      </c>
      <c r="B54" t="s">
        <v>565</v>
      </c>
    </row>
    <row r="55" spans="1:2">
      <c r="A55" t="s">
        <v>566</v>
      </c>
      <c r="B55" t="s">
        <v>567</v>
      </c>
    </row>
    <row r="56" spans="1:2">
      <c r="A56" t="s">
        <v>568</v>
      </c>
      <c r="B56" t="s">
        <v>569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J17" sqref="J17"/>
    </sheetView>
  </sheetViews>
  <sheetFormatPr defaultColWidth="9.23076923076923" defaultRowHeight="16.8" outlineLevelRow="6" outlineLevelCol="1"/>
  <cols>
    <col min="1" max="1" width="4.38461538461539" customWidth="1"/>
    <col min="2" max="2" width="6.61538461538461" customWidth="1"/>
  </cols>
  <sheetData>
    <row r="1" spans="1:2">
      <c r="A1" t="s">
        <v>342</v>
      </c>
      <c r="B1" t="s">
        <v>570</v>
      </c>
    </row>
    <row r="2" spans="1:2">
      <c r="A2" t="s">
        <v>343</v>
      </c>
      <c r="B2" t="s">
        <v>346</v>
      </c>
    </row>
    <row r="3" spans="1:2">
      <c r="A3" t="s">
        <v>345</v>
      </c>
      <c r="B3" t="s">
        <v>571</v>
      </c>
    </row>
    <row r="4" spans="1:2">
      <c r="A4" t="s">
        <v>347</v>
      </c>
      <c r="B4" t="s">
        <v>572</v>
      </c>
    </row>
    <row r="5" spans="1:2">
      <c r="A5" t="s">
        <v>349</v>
      </c>
      <c r="B5" t="s">
        <v>573</v>
      </c>
    </row>
    <row r="6" spans="1:2">
      <c r="A6" t="s">
        <v>351</v>
      </c>
      <c r="B6" t="s">
        <v>574</v>
      </c>
    </row>
    <row r="7" spans="1:2">
      <c r="A7" t="s">
        <v>353</v>
      </c>
      <c r="B7" t="s">
        <v>575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166"/>
  <sheetViews>
    <sheetView workbookViewId="0">
      <selection activeCell="O2" sqref="O2"/>
    </sheetView>
  </sheetViews>
  <sheetFormatPr defaultColWidth="9.61538461538461" defaultRowHeight="17.6"/>
  <cols>
    <col min="1" max="2" width="13.6442307692308" style="4" customWidth="1"/>
    <col min="3" max="3" width="6.73076923076923" style="5" customWidth="1"/>
    <col min="4" max="4" width="4.71153846153846" style="5" customWidth="1"/>
    <col min="5" max="5" width="6.73076923076923" style="5" customWidth="1"/>
    <col min="6" max="6" width="5.74038461538461" style="5" customWidth="1"/>
    <col min="7" max="7" width="7.125" style="5" customWidth="1"/>
    <col min="8" max="8" width="4.74038461538461" style="6" customWidth="1"/>
    <col min="9" max="10" width="6.86538461538461" style="6" customWidth="1"/>
    <col min="11" max="11" width="7.75" style="5" customWidth="1"/>
    <col min="12" max="12" width="3.09615384615385" style="6" customWidth="1"/>
    <col min="13" max="13" width="4.30769230769231" style="6" customWidth="1"/>
    <col min="14" max="14" width="10.6346153846154" style="1" customWidth="1"/>
    <col min="15" max="15" width="6.32692307692308" style="1" customWidth="1"/>
    <col min="16" max="16" width="5.78846153846154" style="1" customWidth="1"/>
    <col min="17" max="17" width="6.73076923076923" style="1" customWidth="1"/>
    <col min="18" max="18" width="4.71153846153846" style="1" customWidth="1"/>
    <col min="19" max="19" width="6.86538461538461" style="1" customWidth="1"/>
    <col min="20" max="20" width="7.40384615384615" style="1" customWidth="1"/>
    <col min="21" max="21" width="5.24038461538461" style="1" customWidth="1"/>
    <col min="22" max="22" width="4.89423076923077" style="5" customWidth="1"/>
    <col min="23" max="23" width="6.73076923076923" style="5" customWidth="1"/>
    <col min="24" max="24" width="5.06730769230769" style="5" customWidth="1"/>
    <col min="25" max="25" width="5.25" style="5" customWidth="1"/>
    <col min="26" max="26" width="6.05769230769231" style="5" customWidth="1"/>
    <col min="27" max="27" width="5.78846153846154" style="5" customWidth="1"/>
    <col min="28" max="28" width="6.46153846153846" style="5" customWidth="1"/>
    <col min="29" max="32" width="5.78846153846154" style="5" customWidth="1"/>
    <col min="33" max="33" width="6.46153846153846" style="5" customWidth="1"/>
    <col min="34" max="34" width="5.92307692307692" style="5" customWidth="1"/>
    <col min="35" max="35" width="5.20192307692308" style="5" customWidth="1"/>
    <col min="36" max="36" width="5.93269230769231" style="1" hidden="1" customWidth="1"/>
    <col min="37" max="42" width="4.71153846153846" style="1" hidden="1" customWidth="1"/>
    <col min="43" max="43" width="6.86538461538461" style="1" hidden="1" customWidth="1"/>
    <col min="44" max="44" width="4.71153846153846" style="1" hidden="1" customWidth="1"/>
    <col min="45" max="45" width="6.32692307692308" style="1" hidden="1" customWidth="1"/>
    <col min="46" max="46" width="6.46153846153846" style="1" customWidth="1"/>
    <col min="47" max="51" width="4.71153846153846" style="1" customWidth="1"/>
    <col min="52" max="52" width="5.78846153846154" style="1" customWidth="1"/>
    <col min="53" max="53" width="6.86538461538461" style="1" customWidth="1"/>
    <col min="54" max="54" width="4.75" style="1" customWidth="1"/>
    <col min="55" max="55" width="6.73076923076923" style="1" customWidth="1"/>
    <col min="56" max="56" width="6.32692307692308" style="5" customWidth="1"/>
    <col min="57" max="57" width="5.20192307692308" style="7" customWidth="1"/>
    <col min="58" max="58" width="5.38461538461539" style="5" customWidth="1"/>
    <col min="59" max="59" width="4.66346153846154" style="7" customWidth="1"/>
    <col min="60" max="60" width="8.21153846153846" style="1" customWidth="1"/>
    <col min="61" max="61" width="5.25" style="1" customWidth="1"/>
    <col min="62" max="62" width="6.86538461538461" style="1" customWidth="1"/>
    <col min="63" max="63" width="5.78846153846154" style="1" customWidth="1"/>
    <col min="64" max="64" width="4.30769230769231" style="1" customWidth="1"/>
    <col min="65" max="65" width="9.01923076923077" style="1" customWidth="1"/>
    <col min="66" max="66" width="6.86538461538461" style="8" customWidth="1"/>
    <col min="67" max="67" width="8.07692307692308" style="1" customWidth="1"/>
    <col min="68" max="68" width="5.78846153846154" style="5" customWidth="1"/>
    <col min="69" max="69" width="7.67307692307692" style="1" customWidth="1"/>
    <col min="70" max="70" width="4.98076923076923" style="1" customWidth="1"/>
    <col min="71" max="72" width="6.86538461538461" style="1" customWidth="1"/>
    <col min="73" max="73" width="4.17307692307692" style="1" customWidth="1"/>
    <col min="74" max="74" width="9.01923076923077" style="1" customWidth="1"/>
    <col min="75" max="75" width="7.94230769230769" style="8" customWidth="1"/>
    <col min="76" max="76" width="7" style="1" customWidth="1"/>
    <col min="77" max="77" width="5.78846153846154" style="5" customWidth="1"/>
    <col min="78" max="78" width="6.19230769230769" style="1" customWidth="1"/>
    <col min="79" max="79" width="5.25" style="1" customWidth="1"/>
    <col min="80" max="80" width="6.86538461538461" style="1" customWidth="1"/>
    <col min="81" max="81" width="5.78846153846154" style="1" customWidth="1"/>
    <col min="82" max="82" width="4.17307692307692" style="1" customWidth="1"/>
    <col min="83" max="83" width="9.01923076923077" style="1" customWidth="1"/>
    <col min="84" max="84" width="6.86538461538461" style="8" customWidth="1"/>
    <col min="85" max="85" width="7.94230769230769" style="1" customWidth="1"/>
    <col min="86" max="86" width="5.78846153846154" style="5" customWidth="1"/>
    <col min="87" max="16382" width="10.7692307692308" style="1" customWidth="1"/>
    <col min="16383" max="16384" width="9.61538461538461" style="1"/>
  </cols>
  <sheetData>
    <row r="1" s="1" customFormat="1" ht="22" customHeight="1" spans="1:86">
      <c r="A1" s="9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37"/>
      <c r="N1" s="38" t="s">
        <v>576</v>
      </c>
      <c r="O1" s="39">
        <v>2025</v>
      </c>
      <c r="P1" s="40" t="s">
        <v>6</v>
      </c>
      <c r="Q1" s="61"/>
      <c r="R1" s="62"/>
      <c r="S1" s="63"/>
      <c r="T1" s="63" t="s">
        <v>10</v>
      </c>
      <c r="U1" s="63"/>
      <c r="V1" s="63"/>
      <c r="W1" s="63"/>
      <c r="X1" s="63" t="s">
        <v>12</v>
      </c>
      <c r="Y1" s="63"/>
      <c r="Z1" s="63"/>
      <c r="AA1" s="63"/>
      <c r="AB1" s="78" t="s">
        <v>577</v>
      </c>
      <c r="AC1" s="99">
        <v>182</v>
      </c>
      <c r="AD1" s="78">
        <v>5.87</v>
      </c>
      <c r="AE1" s="100" t="s">
        <v>578</v>
      </c>
      <c r="AF1" s="101" t="s">
        <v>579</v>
      </c>
      <c r="AG1" s="101" t="s">
        <v>580</v>
      </c>
      <c r="AH1" s="101" t="s">
        <v>581</v>
      </c>
      <c r="AI1" s="109" t="s">
        <v>582</v>
      </c>
      <c r="AJ1" s="110" t="s">
        <v>583</v>
      </c>
      <c r="AK1" s="110"/>
      <c r="AL1" s="110"/>
      <c r="AM1" s="110"/>
      <c r="AN1" s="110"/>
      <c r="AO1" s="110"/>
      <c r="AP1" s="110"/>
      <c r="AQ1" s="110"/>
      <c r="AR1" s="110"/>
      <c r="AS1" s="110"/>
      <c r="AT1" s="131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44"/>
      <c r="BF1" s="110"/>
      <c r="BG1" s="144"/>
      <c r="BH1" s="110" t="s">
        <v>584</v>
      </c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64"/>
    </row>
    <row r="2" s="1" customFormat="1" ht="22" customHeight="1" spans="1:86">
      <c r="A2" s="11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41"/>
      <c r="N2" s="42" t="s">
        <v>585</v>
      </c>
      <c r="O2" s="11">
        <v>9</v>
      </c>
      <c r="P2" s="43" t="s">
        <v>586</v>
      </c>
      <c r="Q2" s="43"/>
      <c r="R2" s="43"/>
      <c r="S2" s="64"/>
      <c r="T2" s="43"/>
      <c r="U2" s="43"/>
      <c r="V2" s="43"/>
      <c r="W2" s="64"/>
      <c r="X2" s="43" t="s">
        <v>587</v>
      </c>
      <c r="Y2" s="43"/>
      <c r="Z2" s="43"/>
      <c r="AA2" s="64"/>
      <c r="AB2" s="79">
        <v>0.08</v>
      </c>
      <c r="AC2" s="102">
        <v>7.1</v>
      </c>
      <c r="AD2" s="79">
        <v>0.08</v>
      </c>
      <c r="AE2" s="103">
        <f>AI2*(1-$AD$2-4%-$AB$2)-$AD$1-$AC$1/$AC$2</f>
        <v>32.4881971830986</v>
      </c>
      <c r="AF2" s="104">
        <f>AI2*60%*(1-4%)-AC1/AC2</f>
        <v>20.4404371830986</v>
      </c>
      <c r="AG2" s="103">
        <f>59.96*(1-5%)-89.99*15%-AC1/AC2</f>
        <v>17.8296971830986</v>
      </c>
      <c r="AH2" s="103">
        <f>79.99*(1-15%-4%-$AB$2)-$AD$1-$AC$1/$AC$2</f>
        <v>26.8888971830986</v>
      </c>
      <c r="AI2" s="111">
        <v>79.99</v>
      </c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31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44"/>
      <c r="BF2" s="110"/>
      <c r="BG2" s="144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64"/>
    </row>
    <row r="3" s="1" customFormat="1" spans="1:86">
      <c r="A3" s="13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44"/>
      <c r="N3" s="45" t="s">
        <v>82</v>
      </c>
      <c r="O3" s="46"/>
      <c r="P3" s="46"/>
      <c r="Q3" s="46"/>
      <c r="R3" s="46"/>
      <c r="S3" s="46"/>
      <c r="T3" s="46"/>
      <c r="U3" s="70"/>
      <c r="V3" s="70"/>
      <c r="W3" s="71"/>
      <c r="X3" s="72"/>
      <c r="Y3" s="80" t="s">
        <v>126</v>
      </c>
      <c r="Z3" s="81"/>
      <c r="AA3" s="82"/>
      <c r="AB3" s="82"/>
      <c r="AC3" s="82"/>
      <c r="AD3" s="82"/>
      <c r="AE3" s="82"/>
      <c r="AF3" s="82"/>
      <c r="AG3" s="82"/>
      <c r="AH3" s="112"/>
      <c r="AI3" s="112"/>
      <c r="AJ3" s="113" t="s">
        <v>588</v>
      </c>
      <c r="AK3" s="113"/>
      <c r="AL3" s="113"/>
      <c r="AM3" s="113"/>
      <c r="AN3" s="113"/>
      <c r="AO3" s="113"/>
      <c r="AP3" s="113"/>
      <c r="AQ3" s="113"/>
      <c r="AR3" s="113"/>
      <c r="AS3" s="113"/>
      <c r="AT3" s="132" t="s">
        <v>171</v>
      </c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45" t="s">
        <v>245</v>
      </c>
      <c r="BF3" s="145"/>
      <c r="BG3" s="145"/>
      <c r="BH3" s="146" t="s">
        <v>255</v>
      </c>
      <c r="BI3" s="152"/>
      <c r="BJ3" s="152"/>
      <c r="BK3" s="152"/>
      <c r="BL3" s="152"/>
      <c r="BM3" s="152"/>
      <c r="BN3" s="156"/>
      <c r="BO3" s="152"/>
      <c r="BP3" s="157"/>
      <c r="BQ3" s="146" t="s">
        <v>290</v>
      </c>
      <c r="BR3" s="152"/>
      <c r="BS3" s="152"/>
      <c r="BT3" s="152"/>
      <c r="BU3" s="152"/>
      <c r="BV3" s="152"/>
      <c r="BW3" s="156"/>
      <c r="BX3" s="152"/>
      <c r="BY3" s="157"/>
      <c r="BZ3" s="146" t="s">
        <v>318</v>
      </c>
      <c r="CA3" s="152"/>
      <c r="CB3" s="152"/>
      <c r="CC3" s="152"/>
      <c r="CD3" s="152"/>
      <c r="CE3" s="152"/>
      <c r="CF3" s="156"/>
      <c r="CG3" s="152"/>
      <c r="CH3" s="157"/>
    </row>
    <row r="4" s="2" customFormat="1" ht="76" spans="1:86">
      <c r="A4" s="15" t="s">
        <v>31</v>
      </c>
      <c r="B4" s="15" t="s">
        <v>35</v>
      </c>
      <c r="C4" s="16" t="s">
        <v>589</v>
      </c>
      <c r="D4" s="16" t="s">
        <v>590</v>
      </c>
      <c r="E4" s="16" t="s">
        <v>591</v>
      </c>
      <c r="F4" s="16" t="s">
        <v>51</v>
      </c>
      <c r="G4" s="16" t="s">
        <v>592</v>
      </c>
      <c r="H4" s="16" t="s">
        <v>59</v>
      </c>
      <c r="I4" s="16" t="s">
        <v>593</v>
      </c>
      <c r="J4" s="16" t="s">
        <v>67</v>
      </c>
      <c r="K4" s="16" t="s">
        <v>594</v>
      </c>
      <c r="L4" s="16" t="s">
        <v>595</v>
      </c>
      <c r="M4" s="47" t="s">
        <v>79</v>
      </c>
      <c r="N4" s="47" t="s">
        <v>14</v>
      </c>
      <c r="O4" s="48" t="s">
        <v>87</v>
      </c>
      <c r="P4" s="48" t="s">
        <v>91</v>
      </c>
      <c r="Q4" s="48" t="s">
        <v>95</v>
      </c>
      <c r="R4" s="48" t="s">
        <v>99</v>
      </c>
      <c r="S4" s="48" t="s">
        <v>596</v>
      </c>
      <c r="T4" s="48" t="s">
        <v>107</v>
      </c>
      <c r="U4" s="48" t="s">
        <v>597</v>
      </c>
      <c r="V4" s="48" t="s">
        <v>598</v>
      </c>
      <c r="W4" s="48" t="s">
        <v>119</v>
      </c>
      <c r="X4" s="48" t="s">
        <v>599</v>
      </c>
      <c r="Y4" s="83" t="s">
        <v>600</v>
      </c>
      <c r="Z4" s="83" t="s">
        <v>601</v>
      </c>
      <c r="AA4" s="84" t="s">
        <v>602</v>
      </c>
      <c r="AB4" s="84" t="s">
        <v>603</v>
      </c>
      <c r="AC4" s="84" t="s">
        <v>604</v>
      </c>
      <c r="AD4" s="84" t="s">
        <v>605</v>
      </c>
      <c r="AE4" s="84" t="s">
        <v>606</v>
      </c>
      <c r="AF4" s="84" t="s">
        <v>607</v>
      </c>
      <c r="AG4" s="84" t="s">
        <v>608</v>
      </c>
      <c r="AH4" s="114" t="s">
        <v>609</v>
      </c>
      <c r="AI4" s="114" t="s">
        <v>610</v>
      </c>
      <c r="AJ4" s="115" t="s">
        <v>611</v>
      </c>
      <c r="AK4" s="115" t="s">
        <v>177</v>
      </c>
      <c r="AL4" s="115" t="s">
        <v>181</v>
      </c>
      <c r="AM4" s="115" t="s">
        <v>612</v>
      </c>
      <c r="AN4" s="115" t="s">
        <v>189</v>
      </c>
      <c r="AO4" s="115" t="s">
        <v>613</v>
      </c>
      <c r="AP4" s="115" t="s">
        <v>197</v>
      </c>
      <c r="AQ4" s="115" t="s">
        <v>201</v>
      </c>
      <c r="AR4" s="115" t="s">
        <v>614</v>
      </c>
      <c r="AS4" s="115" t="s">
        <v>209</v>
      </c>
      <c r="AT4" s="114" t="s">
        <v>611</v>
      </c>
      <c r="AU4" s="114" t="s">
        <v>177</v>
      </c>
      <c r="AV4" s="114" t="s">
        <v>181</v>
      </c>
      <c r="AW4" s="114" t="s">
        <v>612</v>
      </c>
      <c r="AX4" s="114" t="s">
        <v>189</v>
      </c>
      <c r="AY4" s="114" t="s">
        <v>613</v>
      </c>
      <c r="AZ4" s="114" t="s">
        <v>197</v>
      </c>
      <c r="BA4" s="114" t="s">
        <v>201</v>
      </c>
      <c r="BB4" s="114" t="s">
        <v>614</v>
      </c>
      <c r="BC4" s="114" t="s">
        <v>209</v>
      </c>
      <c r="BD4" s="141" t="s">
        <v>242</v>
      </c>
      <c r="BE4" s="147" t="s">
        <v>181</v>
      </c>
      <c r="BF4" s="148" t="s">
        <v>612</v>
      </c>
      <c r="BG4" s="147" t="s">
        <v>614</v>
      </c>
      <c r="BH4" s="149" t="s">
        <v>257</v>
      </c>
      <c r="BI4" s="153" t="s">
        <v>261</v>
      </c>
      <c r="BJ4" s="153" t="s">
        <v>201</v>
      </c>
      <c r="BK4" s="153" t="s">
        <v>189</v>
      </c>
      <c r="BL4" s="153" t="s">
        <v>271</v>
      </c>
      <c r="BM4" s="153" t="s">
        <v>275</v>
      </c>
      <c r="BN4" s="158" t="s">
        <v>279</v>
      </c>
      <c r="BO4" s="153" t="s">
        <v>283</v>
      </c>
      <c r="BP4" s="159" t="s">
        <v>287</v>
      </c>
      <c r="BQ4" s="149" t="s">
        <v>257</v>
      </c>
      <c r="BR4" s="153" t="s">
        <v>261</v>
      </c>
      <c r="BS4" s="153" t="s">
        <v>201</v>
      </c>
      <c r="BT4" s="153" t="s">
        <v>189</v>
      </c>
      <c r="BU4" s="153" t="s">
        <v>271</v>
      </c>
      <c r="BV4" s="153" t="s">
        <v>275</v>
      </c>
      <c r="BW4" s="158" t="s">
        <v>279</v>
      </c>
      <c r="BX4" s="153" t="s">
        <v>283</v>
      </c>
      <c r="BY4" s="159" t="s">
        <v>287</v>
      </c>
      <c r="BZ4" s="149" t="s">
        <v>257</v>
      </c>
      <c r="CA4" s="153" t="s">
        <v>261</v>
      </c>
      <c r="CB4" s="153" t="s">
        <v>201</v>
      </c>
      <c r="CC4" s="153" t="s">
        <v>189</v>
      </c>
      <c r="CD4" s="153" t="s">
        <v>271</v>
      </c>
      <c r="CE4" s="153" t="s">
        <v>275</v>
      </c>
      <c r="CF4" s="158" t="s">
        <v>279</v>
      </c>
      <c r="CG4" s="153" t="s">
        <v>283</v>
      </c>
      <c r="CH4" s="159" t="s">
        <v>287</v>
      </c>
    </row>
    <row r="5" s="1" customFormat="1" ht="20" hidden="1" customHeight="1" spans="1:86">
      <c r="A5" s="17" cm="1">
        <f t="array" ref="A5">IFERROR(LOOKUP(1,0/(([2]业务报告!$A:$A=$N5)*([2]业务报告!$B:$B=$P$2)),[2]业务报告!AU:AU),"")</f>
        <v>0</v>
      </c>
      <c r="B5" s="17" t="str" cm="1">
        <f t="array" ref="B5">IFERROR(LOOKUP(1,0/(([2]业务报告!$A:$A=$N5)*([2]业务报告!$B:$B=$P$2)),[2]业务报告!AV:AV),"")</f>
        <v>2.大词词组降低cpc 提高top位比例，广告点击去到top 点击17次，未转化，今晚再观察一晚不做调整，对跑出来不相关词做否定</v>
      </c>
      <c r="C5" s="18">
        <f>SUMIFS([2]业务报告!AC:AC,[2]业务报告!$A:$A,$N5,[2]业务报告!$B:$B,$P$2)</f>
        <v>0</v>
      </c>
      <c r="D5" s="19">
        <f>SUMIFS([2]业务报告!AD:AD,[2]业务报告!$A:$A,$N5,[2]业务报告!$B:$B,$P$2)</f>
        <v>0</v>
      </c>
      <c r="E5" s="20" cm="1">
        <f t="array" ref="E5">_xlfn.XLOOKUP($N5&amp;$P$2,[2]业务报告!$A:$A&amp;[2]业务报告!$B:$B,[2]业务报告!AE:AE,"")</f>
        <v>0</v>
      </c>
      <c r="F5" s="25" t="str" cm="1">
        <f t="array" ref="F5">IFERROR(LOOKUP(1,0/(([2]业务报告!$A:$A=$N5)*([2]业务报告!$B:$B=$P$2)),[2]业务报告!AK:AK),0)</f>
        <v>WBD</v>
      </c>
      <c r="G5" s="26">
        <f>SUMIFS([2]业务报告!AF:AF,[2]业务报告!$A:$A,$N5,[2]业务报告!$B:$B,$P$2)</f>
        <v>319.89</v>
      </c>
      <c r="H5" s="27" t="str" cm="1">
        <f t="array" ref="H5">IFERROR(LOOKUP(1,0/(([2]业务报告!$A:$A=$N5)*([2]业务报告!B:B=$P$2)),[2]业务报告!AG:AG),0)</f>
        <v>/</v>
      </c>
      <c r="I5" s="27" cm="1">
        <f t="array" ref="I5">IFERROR(LOOKUP(1,0/(([2]业务报告!$A:$A=$N5)*([2]业务报告!$B:$B=$P$2)),[2]业务报告!AH:AH),0)</f>
        <v>79.99</v>
      </c>
      <c r="J5" s="30">
        <f>SUMIFS([2]WT报告!A:A,[2]WT报告!$C:$C,$N5,[2]WT报告!$H:$H,$X$2)</f>
        <v>0</v>
      </c>
      <c r="K5" s="25" cm="1">
        <f t="array" ref="K5">IFERROR(LOOKUP(1,0/(([2]业务报告!$A:$A=$N5)*([2]业务报告!$B:$B=$P$2)),[2]业务报告!AI:AI),0)</f>
        <v>0</v>
      </c>
      <c r="L5" s="25" cm="1">
        <f t="array" ref="L5">IFERROR(LOOKUP(1,0/(([2]业务报告!$A:$A=$N5)*([2]业务报告!$B:$B=$P$2)),[2]业务报告!AJ:AJ),0)</f>
        <v>0</v>
      </c>
      <c r="M5" s="49" t="str">
        <f t="shared" ref="M5:M36" si="0">IFERROR("周"&amp;WEEKDAY(N5,2),"-")</f>
        <v>周1</v>
      </c>
      <c r="N5" s="50">
        <f>DATE($O$1,$O$2,1)</f>
        <v>45901</v>
      </c>
      <c r="O5" s="51">
        <f>SUMIFS([2]业务报告!G:G,[2]业务报告!$A:$A,$N5,[2]业务报告!$B:$B,$P$2)+SUMIFS([2]业务报告!G:G,[2]业务报告!$A:$A,$N5,[2]业务报告!$B:$B,$T$2)</f>
        <v>0</v>
      </c>
      <c r="P5" s="51">
        <f>SUMIFS([2]业务报告!H:H,[2]业务报告!$A:$A,$N5,[2]业务报告!$B:$B,$P$2)+SUMIFS([2]业务报告!H:H,[2]业务报告!$A:$A,$N5,[2]业务报告!$B:$B,$T$2)</f>
        <v>0</v>
      </c>
      <c r="Q5" s="51">
        <f>SUMIFS([2]业务报告!I:I,[2]业务报告!$A:$A,$N5,[2]业务报告!$B:$B,$P$2)+SUMIFS([2]业务报告!I:I,[2]业务报告!$A:$A,$N5,[2]业务报告!$B:$B,$T$2)</f>
        <v>0</v>
      </c>
      <c r="R5" s="51">
        <f>SUMIFS([2]业务报告!T:T,[2]业务报告!$A:$A,$N5,[2]业务报告!$B:$B,$P$2)+SUMIFS([2]业务报告!T:T,[2]业务报告!$A:$A,$N5,[2]业务报告!$B:$B,$T$2)</f>
        <v>0</v>
      </c>
      <c r="S5" s="65">
        <f t="shared" ref="S5:S35" si="1">IFERROR((R5+V5)/Q5,0)</f>
        <v>0</v>
      </c>
      <c r="T5" s="66">
        <f>SUMIFS([2]业务报告!X:X,[2]业务报告!$A:$A,$N5,[2]业务报告!$B:$B,$P$2)+SUMIFS([2]业务报告!X:X,[2]业务报告!$A:$A,$N5,[2]业务报告!$B:$B,$T$2)</f>
        <v>0</v>
      </c>
      <c r="U5" s="28">
        <f>SUMIFS([2]业务报告!AO:AO,[2]业务报告!$A:$A,$N5,[2]业务报告!$B:$B,$P$2)+SUMIFS([2]业务报告!AP:AP,[2]业务报告!$A:$A,$N5,[2]业务报告!$B:$B,$P$2)</f>
        <v>0</v>
      </c>
      <c r="V5" s="73">
        <f>SUMIFS([2]WT报告!I:I,[2]WT报告!$C:$C,$N5,[2]WT报告!$H:$H,$X$2)</f>
        <v>0</v>
      </c>
      <c r="W5" s="66">
        <f>SUMIFS([2]WT报告!Z:Z,[2]WT报告!$C:$C,$N5,[2]WT报告!$H:$H,$X$2)</f>
        <v>0</v>
      </c>
      <c r="X5" s="73">
        <f>SUMIFS([2]业务报告!AS:AS,[2]业务报告!$A:$A,$N5,[2]业务报告!$B:$B,$P$2)+SUMIFS([2]业务报告!AS:AS,[2]业务报告!$A:$A,$N5,[2]业务报告!$B:$B,$T$2)+V5</f>
        <v>0</v>
      </c>
      <c r="Y5" s="85">
        <f>SUMIFS([2]业务报告!AO:AO,[2]业务报告!$A:$A,$N5,[2]业务报告!$B:$B,$P$2)*SUMIFS([2]业务报告!AM:AM,[2]业务报告!$A:$A,$N5,[2]业务报告!$B:$B,$P$2)/$AC$2+SUMIFS([2]业务报告!AP:AP,[2]业务报告!$A:$A,$N5,[2]业务报告!$B:$B,$P$2)*SUMIFS([2]业务报告!AN:AN,[2]业务报告!$A:$A,$N5,[2]业务报告!$B:$B,$P$2)/$AC$2</f>
        <v>0</v>
      </c>
      <c r="Z5" s="86">
        <f>(I5*(1-$AD$2-4%-10%)-$AD$1-$AC$1/$AC$2)*BB5-BC5</f>
        <v>0</v>
      </c>
      <c r="AA5" s="87">
        <f>(I5*(1-$AD$2-4%-10%)-$AD$1-$AC$1/$AC$2)*(R5-IF(R5&gt;V5,SUMIFS([2]业务报告!AO:AO,[2]业务报告!$A:$A,$N5,[2]业务报告!$B:$B,$P$2),0))-BC5</f>
        <v>0</v>
      </c>
      <c r="AB5" s="88">
        <f t="shared" ref="AB5:AB35" si="2">IFERROR(AA5/(I5*R5),0)</f>
        <v>0</v>
      </c>
      <c r="AC5" s="86">
        <f>AR5*(J5-$AC$1/$AC$2-J5*4%)-AS5</f>
        <v>0</v>
      </c>
      <c r="AD5" s="87">
        <f>(V5-IF(R5&lt;V5,SUMIFS([2]业务报告!AO:AO,[2]业务报告!$A:$A,$N5,[2]业务报告!$B:$B,$P$2),0))*(J5-$AC$1/$AC$2-J5*4%)-AS5</f>
        <v>0</v>
      </c>
      <c r="AE5" s="87" cm="1">
        <f t="array" ref="AE5">IFERROR(LOOKUP(1,0/(([2]业务报告!$A:$A=$N5)*([2]业务报告!$B:$B=$P$2)),[2]业务报告!AQ:AQ),0)*$AH$2</f>
        <v>0</v>
      </c>
      <c r="AF5" s="87" cm="1">
        <f t="array" ref="AF5">IFERROR(LOOKUP(1,0/(([2]业务报告!$A:$A=$N5)*([2]业务报告!$B:$B=$P$2)),[2]业务报告!AR:AR),0)*$AG$2</f>
        <v>0</v>
      </c>
      <c r="AG5" s="87">
        <f t="shared" ref="AG5:AG35" si="3">AA5+AD5+AE5+AF5-Y5</f>
        <v>0</v>
      </c>
      <c r="AH5" s="88">
        <f t="shared" ref="AH5:AH36" si="4">IFERROR((AG5)/(T5+J5*V5),0)</f>
        <v>0</v>
      </c>
      <c r="AI5" s="116">
        <f t="shared" ref="AI5:AI35" si="5">IFERROR((AG5)/(X5),0)</f>
        <v>0</v>
      </c>
      <c r="AJ5" s="117">
        <f t="shared" ref="AJ5:AJ35" si="6">IFERROR(AS5/(V5*J5),0)</f>
        <v>0</v>
      </c>
      <c r="AK5" s="122">
        <f t="shared" ref="AK5:AK35" si="7">IFERROR(ROUNDUP(AS5/V5,1),0)</f>
        <v>0</v>
      </c>
      <c r="AL5" s="116">
        <f>SUMIFS([2]WT报告!S:S,[2]WT报告!$C:$C,$N5,[2]WT报告!$H:$H,$X$2)</f>
        <v>0</v>
      </c>
      <c r="AM5" s="123">
        <f t="shared" ref="AM5:AM36" si="8">IFERROR((AR5)/AP5,0)</f>
        <v>0</v>
      </c>
      <c r="AN5" s="124">
        <f>SUMIFS([2]WT报告!N:N,[2]WT报告!$C:$C,$N5,[2]WT报告!$H:$H,$X$2)</f>
        <v>0</v>
      </c>
      <c r="AO5" s="117">
        <f t="shared" ref="AO5:AO36" si="9">IFERROR(AR5/(V5),0)</f>
        <v>0</v>
      </c>
      <c r="AP5" s="87">
        <f>SUMIFS([2]WT报告!P:P,[2]WT报告!$C:$C,$N5,[2]WT报告!$H:$H,$X$2)</f>
        <v>0</v>
      </c>
      <c r="AQ5" s="129">
        <f>SUMIFS([2]WT报告!Q:Q,[2]WT报告!$C:$C,$N5,[2]WT报告!$H:$H,$X$2)</f>
        <v>0</v>
      </c>
      <c r="AR5" s="87">
        <f>SUMIFS([2]WT报告!J:J,[2]WT报告!$C:$C,$N5,[2]WT报告!$H:$H,$X$2)</f>
        <v>0</v>
      </c>
      <c r="AS5" s="133">
        <f>SUMIFS([2]WT报告!M:M,[2]WT报告!$C:$C,$N5,[2]WT报告!$H:$H,$X$2)</f>
        <v>0</v>
      </c>
      <c r="AT5" s="134">
        <f t="shared" ref="AT5:AT35" si="10">IFERROR((BO5+BX5+CG5)/(R5*I5),0)</f>
        <v>0</v>
      </c>
      <c r="AU5" s="122">
        <f t="shared" ref="AU5:AU36" si="11">IFERROR(ROUNDUP(BC5/R5,1),0)</f>
        <v>0</v>
      </c>
      <c r="AV5" s="133">
        <f t="shared" ref="AV5:AV35" si="12">IFERROR(ROUNDUP(BC5/BB5,1),0)</f>
        <v>0</v>
      </c>
      <c r="AW5" s="123">
        <f t="shared" ref="AW5:AW36" si="13">IFERROR((BB5)/AZ5,0)</f>
        <v>0</v>
      </c>
      <c r="AX5" s="124">
        <f t="shared" ref="AX5:AX36" si="14">IFERROR(BC5/AZ5,0)</f>
        <v>0</v>
      </c>
      <c r="AY5" s="117">
        <f t="shared" ref="AY5:AY35" si="15">IFERROR((BL5+BU5+CD5)/(R5+V5),0)</f>
        <v>0</v>
      </c>
      <c r="AZ5" s="122">
        <f t="shared" ref="AZ5:AZ35" si="16">BI5+BR5+CA5</f>
        <v>0</v>
      </c>
      <c r="BA5" s="142">
        <f t="shared" ref="BA5:BA36" si="17">IFERROR((BI5+BR5+CA5)/(BH5+BQ5+BZ5),0)</f>
        <v>0</v>
      </c>
      <c r="BB5" s="122">
        <f t="shared" ref="BB5:BB35" si="18">BL5+BU5+CD5</f>
        <v>0</v>
      </c>
      <c r="BC5" s="133">
        <f t="shared" ref="BC5:BC35" si="19">ROUND(BO5+BX5+CG5,2)</f>
        <v>0</v>
      </c>
      <c r="BD5" s="123">
        <f t="shared" ref="BD5:BD36" si="20">IFERROR(BC5/(BM5+BV5+CE5),0)</f>
        <v>0</v>
      </c>
      <c r="BE5" s="150">
        <f t="shared" ref="BE5:BE35" si="21">IFERROR(ROUNDUP((BO5+CG5)/BG5,1),0)</f>
        <v>0</v>
      </c>
      <c r="BF5" s="123">
        <f t="shared" ref="BF5:BF36" si="22">IFERROR(BG5/(BI5+CA5),0)</f>
        <v>0</v>
      </c>
      <c r="BG5" s="122">
        <f t="shared" ref="BG5:BG35" si="23">BL5+CD5</f>
        <v>0</v>
      </c>
      <c r="BH5" s="122">
        <f>SUMIFS([2]SP!J:J,[2]SP!A:A,N5,[2]SP!H:H,$P$2)+SUMIFS([2]SP!J:J,[2]SP!A:A,N5,[2]SP!H:H,$T$2)</f>
        <v>0</v>
      </c>
      <c r="BI5" s="122">
        <f>SUMIFS([2]SP!K:K,[2]SP!A:A,N5,[2]SP!H:H,$P$2)+SUMIFS([2]SP!K:K,[2]SP!A:A,N5,[2]SP!H:H,$T$2)</f>
        <v>0</v>
      </c>
      <c r="BJ5" s="154">
        <f t="shared" ref="BJ5:BJ36" si="24">IFERROR(BI5/BH5,0)</f>
        <v>0</v>
      </c>
      <c r="BK5" s="124">
        <f t="shared" ref="BK5:BK36" si="25">IFERROR(BO5/BI5,0)</f>
        <v>0</v>
      </c>
      <c r="BL5" s="122">
        <f>SUMIFS([2]SP!R:R,[2]SP!A:A,N5,[2]SP!H:H,$P$2)+SUMIFS([2]SP!R:R,[2]SP!A:A,N5,[2]SP!H:H,$T$2)</f>
        <v>0</v>
      </c>
      <c r="BM5" s="124">
        <f>SUMIFS([2]SP!O:O,[2]SP!A:A,$N5,[2]SP!H:H,$P$2)+SUMIFS([2]SP!O:O,[2]SP!A:A,$N5,[2]SP!H:H,$T$2)</f>
        <v>0</v>
      </c>
      <c r="BN5" s="160">
        <f t="shared" ref="BN5:BN36" si="26">IFERROR(BL5/BI5,0)</f>
        <v>0</v>
      </c>
      <c r="BO5" s="122">
        <f>SUMIFS([2]SP!N:N,[2]SP!A:A,N5,[2]SP!H:H,$P$2)+SUMIFS([2]SP!N:N,[2]SP!A:A,N5,[2]SP!H:H,$T$2)</f>
        <v>0</v>
      </c>
      <c r="BP5" s="161">
        <f t="shared" ref="BP5:BP36" si="27">IFERROR(BO5/BM5,0)</f>
        <v>0</v>
      </c>
      <c r="BQ5" s="122">
        <f>SUMIFS([2]SD!J:J,[2]SD!A:A,N5,[2]SD!H:H,$P$2)+SUMIFS([2]SD!J:J,[2]SD!A:A,N5,[2]SD!H:H,$T$2)</f>
        <v>0</v>
      </c>
      <c r="BR5" s="122">
        <f>SUMIFS([2]SD!L:L,[2]SD!A:A,N5,[2]SD!H:H,$P$2)+SUMIFS([2]SD!L:L,[2]SD!A:A,N5,[2]SD!H:H,$T$2)</f>
        <v>0</v>
      </c>
      <c r="BS5" s="154">
        <f t="shared" ref="BS5:BS36" si="28">IFERROR(BR5/BQ5,0)</f>
        <v>0</v>
      </c>
      <c r="BT5" s="124">
        <f t="shared" ref="BT5:BT36" si="29">IFERROR(BX5/BR5,0)</f>
        <v>0</v>
      </c>
      <c r="BU5" s="122">
        <f>SUMIFS([2]SD!U:U,[2]SD!A:A,N5,[2]SD!H:H,$P$2)+SUMIFS([2]SD!U:U,[2]SD!A:A,N5,[2]SD!H:H,$T$2)</f>
        <v>0</v>
      </c>
      <c r="BV5" s="124">
        <f>SUMIFS([2]SD!V:V,[2]SD!A:A,N5,[2]SD!H:H,$P$2)+SUMIFS([2]SD!V:V,[2]SD!A:A,N5,[2]SD!H:H,$T$2)</f>
        <v>0</v>
      </c>
      <c r="BW5" s="160">
        <f t="shared" ref="BW5:BW36" si="30">IFERROR(BU5/BR5,0)</f>
        <v>0</v>
      </c>
      <c r="BX5" s="124">
        <f>SUMIFS([2]SD!O:O,[2]SD!A:A,N5,[2]SD!H:H,$P$2)+SUMIFS([2]SD!O:O,[2]SD!A:A,N5,[2]SD!H:H,$T$2)</f>
        <v>0</v>
      </c>
      <c r="BY5" s="161">
        <f t="shared" ref="BY5:BY36" si="31">IFERROR(BX5/BV5,0)</f>
        <v>0</v>
      </c>
      <c r="BZ5" s="122">
        <f>SUMIFS([2]SB!H:H,[2]SB!B:B,N5,[2]SB!A:A,$P$2)+SUMIFS([2]SB!H:H,[2]SB!B:B,N5,[2]SB!A:A,$T$2)</f>
        <v>0</v>
      </c>
      <c r="CA5" s="122">
        <f>SUMIFS([2]SB!I:I,[2]SB!B:B,N5,[2]SB!A:A,$P$2)+SUMIFS([2]SB!I:I,[2]SB!B:B,N5,[2]SB!A:A,$T$2)</f>
        <v>0</v>
      </c>
      <c r="CB5" s="154">
        <f t="shared" ref="CB5:CB36" si="32">IFERROR(CA5/BZ5,0)</f>
        <v>0</v>
      </c>
      <c r="CC5" s="124">
        <f t="shared" ref="CC5:CC36" si="33">IFERROR(CG5/CA5,0)</f>
        <v>0</v>
      </c>
      <c r="CD5" s="122">
        <f>SUMIFS([2]SB!Q:Q,[2]SB!B:B,N5,[2]SB!A:A,$P$2)+SUMIFS([2]SB!Q:Q,[2]SB!B:B,N5,[2]SB!A:A,$T$2)</f>
        <v>0</v>
      </c>
      <c r="CE5" s="124">
        <f>SUMIFS([2]SB!O:O,[2]SB!B:B,N5,[2]SB!A:A,$P$2)+SUMIFS([2]SB!O:O,[2]SB!B:B,N5,[2]SB!A:A,$T$2)</f>
        <v>0</v>
      </c>
      <c r="CF5" s="160">
        <f t="shared" ref="CF5:CF36" si="34">IFERROR(CD5/CA5,0)</f>
        <v>0</v>
      </c>
      <c r="CG5" s="124">
        <f>SUMIFS([2]SB!L:L,[2]SB!B:B,N5,[2]SB!A:A,$P$2)+SUMIFS([2]SB!L:L,[2]SB!B:B,N5,[2]SB!A:A,$T$2)</f>
        <v>0</v>
      </c>
      <c r="CH5" s="161">
        <f t="shared" ref="CH5:CH36" si="35">IFERROR(CG5/CE5,0)</f>
        <v>0</v>
      </c>
    </row>
    <row r="6" s="1" customFormat="1" ht="20" hidden="1" customHeight="1" spans="1:86">
      <c r="A6" s="17" cm="1">
        <f t="array" ref="A6">IFERROR(LOOKUP(1,0/(([2]业务报告!$A:$A=$N6)*([2]业务报告!$B:$B=$P$2)),[2]业务报告!AU:AU),"")</f>
        <v>0</v>
      </c>
      <c r="B6" s="17" cm="1">
        <f t="array" ref="B6">IFERROR(LOOKUP(1,0/(([2]业务报告!$A:$A=$N6)*([2]业务报告!$B:$B=$P$2)),[2]业务报告!AV:AV),"")</f>
        <v>0</v>
      </c>
      <c r="C6" s="20">
        <f>SUMIFS([2]业务报告!AC:AC,[2]业务报告!$A:$A,$N6,[2]业务报告!$B:$B,$P$2)</f>
        <v>0</v>
      </c>
      <c r="D6" s="21">
        <f>SUMIFS([2]业务报告!AD:AD,[2]业务报告!$A:$A,$N6,[2]业务报告!$B:$B,$P$2)</f>
        <v>0</v>
      </c>
      <c r="E6" s="20" cm="1">
        <f t="array" ref="E6">_xlfn.XLOOKUP($N6&amp;$P$2,[2]业务报告!$A:$A&amp;[2]业务报告!$B:$B,[2]业务报告!AE:AE,"")</f>
        <v>0</v>
      </c>
      <c r="F6" s="28" t="str" cm="1">
        <f t="array" ref="F6">IFERROR(LOOKUP(1,0/(([2]业务报告!$A:$A=$N6)*([2]业务报告!$B:$B=$P$2)),[2]业务报告!AK:AK),0)</f>
        <v>WBD</v>
      </c>
      <c r="G6" s="29">
        <f>SUMIFS([2]业务报告!AF:AF,[2]业务报告!$A:$A,$N6,[2]业务报告!$B:$B,$P$2)</f>
        <v>319.89</v>
      </c>
      <c r="H6" s="30" t="str" cm="1">
        <f t="array" ref="H6">IFERROR(LOOKUP(1,0/(([2]业务报告!$A:$A=$N6)*([2]业务报告!B:B=$P$2)),[2]业务报告!AG:AG),0)</f>
        <v>/</v>
      </c>
      <c r="I6" s="30" cm="1">
        <f t="array" ref="I6">IFERROR(LOOKUP(1,0/(([2]业务报告!$A:$A=$N6)*([2]业务报告!$B:$B=$P$2)),[2]业务报告!AH:AH),0)</f>
        <v>79.99</v>
      </c>
      <c r="J6" s="30">
        <f>SUMIFS([2]WT报告!A:A,[2]WT报告!$C:$C,$N6,[2]WT报告!$H:$H,$X$2)</f>
        <v>0</v>
      </c>
      <c r="K6" s="28" cm="1">
        <f t="array" ref="K6">IFERROR(LOOKUP(1,0/(([2]业务报告!$A:$A=$N6)*([2]业务报告!$B:$B=$P$2)),[2]业务报告!AI:AI),0)</f>
        <v>0</v>
      </c>
      <c r="L6" s="28" cm="1">
        <f t="array" ref="L6">IFERROR(LOOKUP(1,0/(([2]业务报告!$A:$A=$N6)*([2]业务报告!$B:$B=$P$2)),[2]业务报告!AJ:AJ),0)</f>
        <v>0</v>
      </c>
      <c r="M6" s="49" t="str">
        <f t="shared" si="0"/>
        <v>周2</v>
      </c>
      <c r="N6" s="50">
        <f>DATE($O$1,$O$2,DAY(N5)+1)</f>
        <v>45902</v>
      </c>
      <c r="O6" s="51">
        <f>SUMIFS([2]业务报告!G:G,[2]业务报告!$A:$A,$N6,[2]业务报告!$B:$B,$P$2)+SUMIFS([2]业务报告!G:G,[2]业务报告!$A:$A,$N6,[2]业务报告!$B:$B,$T$2)</f>
        <v>0</v>
      </c>
      <c r="P6" s="51">
        <f>SUMIFS([2]业务报告!H:H,[2]业务报告!$A:$A,$N6,[2]业务报告!$B:$B,$P$2)+SUMIFS([2]业务报告!H:H,[2]业务报告!$A:$A,$N6,[2]业务报告!$B:$B,$T$2)</f>
        <v>0</v>
      </c>
      <c r="Q6" s="51">
        <f>SUMIFS([2]业务报告!I:I,[2]业务报告!$A:$A,$N6,[2]业务报告!$B:$B,$P$2)+SUMIFS([2]业务报告!I:I,[2]业务报告!$A:$A,$N6,[2]业务报告!$B:$B,$T$2)</f>
        <v>0</v>
      </c>
      <c r="R6" s="51">
        <f>SUMIFS([2]业务报告!T:T,[2]业务报告!$A:$A,$N6,[2]业务报告!$B:$B,$P$2)+SUMIFS([2]业务报告!T:T,[2]业务报告!$A:$A,$N6,[2]业务报告!$B:$B,$T$2)</f>
        <v>0</v>
      </c>
      <c r="S6" s="65">
        <f t="shared" si="1"/>
        <v>0</v>
      </c>
      <c r="T6" s="66">
        <f>SUMIFS([2]业务报告!X:X,[2]业务报告!$A:$A,$N6,[2]业务报告!$B:$B,$P$2)+SUMIFS([2]业务报告!X:X,[2]业务报告!$A:$A,$N6,[2]业务报告!$B:$B,$T$2)</f>
        <v>0</v>
      </c>
      <c r="U6" s="28">
        <f>SUMIFS([2]业务报告!AO:AO,[2]业务报告!$A:$A,$N6,[2]业务报告!$B:$B,$P$2)+SUMIFS([2]业务报告!AP:AP,[2]业务报告!$A:$A,$N6,[2]业务报告!$B:$B,$P$2)</f>
        <v>0</v>
      </c>
      <c r="V6" s="73">
        <f>SUMIFS([2]WT报告!I:I,[2]WT报告!$C:$C,$N6,[2]WT报告!$H:$H,$X$2)</f>
        <v>0</v>
      </c>
      <c r="W6" s="66">
        <f>SUMIFS([2]WT报告!Z:Z,[2]WT报告!$C:$C,$N6,[2]WT报告!$H:$H,$X$2)</f>
        <v>0</v>
      </c>
      <c r="X6" s="73">
        <f>SUMIFS([2]业务报告!AS:AS,[2]业务报告!$A:$A,$N6,[2]业务报告!$B:$B,$P$2)+SUMIFS([2]业务报告!AS:AS,[2]业务报告!$A:$A,$N6,[2]业务报告!$B:$B,$T$2)+V6</f>
        <v>0</v>
      </c>
      <c r="Y6" s="85">
        <f>SUMIFS([2]业务报告!AO:AO,[2]业务报告!$A:$A,$N6,[2]业务报告!$B:$B,$P$2)*SUMIFS([2]业务报告!AM:AM,[2]业务报告!$A:$A,$N6,[2]业务报告!$B:$B,$P$2)/$AC$2+SUMIFS([2]业务报告!AP:AP,[2]业务报告!$A:$A,$N6,[2]业务报告!$B:$B,$P$2)*SUMIFS([2]业务报告!AN:AN,[2]业务报告!$A:$A,$N6,[2]业务报告!$B:$B,$P$2)/$AC$2</f>
        <v>0</v>
      </c>
      <c r="Z6" s="86">
        <f>(I6*(1-$AD$2-4%-10%)-$AD$1-$AC$1/$AC$2)*BB6-BC6</f>
        <v>0</v>
      </c>
      <c r="AA6" s="87">
        <f>(I6*(1-$AD$2-4%-10%)-$AD$1-$AC$1/$AC$2)*(R6-IF(R6&gt;V6,SUMIFS([2]业务报告!AO:AO,[2]业务报告!$A:$A,$N6,[2]业务报告!$B:$B,$P$2),0))-BC6</f>
        <v>0</v>
      </c>
      <c r="AB6" s="88">
        <f t="shared" si="2"/>
        <v>0</v>
      </c>
      <c r="AC6" s="86">
        <f>AR6*(J6-$AC$1/$AC$2-J6*4%)-AS6</f>
        <v>0</v>
      </c>
      <c r="AD6" s="87">
        <f>(V6-IF(R6&lt;V6,SUMIFS([2]业务报告!AO:AO,[2]业务报告!$A:$A,$N6,[2]业务报告!$B:$B,$P$2),0))*(J6-$AC$1/$AC$2-J6*4%)-AS6</f>
        <v>0</v>
      </c>
      <c r="AE6" s="87" cm="1">
        <f t="array" ref="AE6">IFERROR(LOOKUP(1,0/(([2]业务报告!$A:$A=$N6)*([2]业务报告!$B:$B=$P$2)),[2]业务报告!AQ:AQ),0)*$AH$2</f>
        <v>0</v>
      </c>
      <c r="AF6" s="87" cm="1">
        <f t="array" ref="AF6">IFERROR(LOOKUP(1,0/(([2]业务报告!$A:$A=$N6)*([2]业务报告!$B:$B=$P$2)),[2]业务报告!AR:AR),0)*$AG$2</f>
        <v>0</v>
      </c>
      <c r="AG6" s="87">
        <f t="shared" si="3"/>
        <v>0</v>
      </c>
      <c r="AH6" s="88">
        <f t="shared" si="4"/>
        <v>0</v>
      </c>
      <c r="AI6" s="116">
        <f t="shared" si="5"/>
        <v>0</v>
      </c>
      <c r="AJ6" s="117">
        <f t="shared" si="6"/>
        <v>0</v>
      </c>
      <c r="AK6" s="122">
        <f t="shared" si="7"/>
        <v>0</v>
      </c>
      <c r="AL6" s="116">
        <f>SUMIFS([2]WT报告!S:S,[2]WT报告!$C:$C,$N6,[2]WT报告!$H:$H,$X$2)</f>
        <v>0</v>
      </c>
      <c r="AM6" s="123">
        <f t="shared" si="8"/>
        <v>0</v>
      </c>
      <c r="AN6" s="124">
        <f>SUMIFS([2]WT报告!N:N,[2]WT报告!$C:$C,$N6,[2]WT报告!$H:$H,$X$2)</f>
        <v>0</v>
      </c>
      <c r="AO6" s="117">
        <f t="shared" si="9"/>
        <v>0</v>
      </c>
      <c r="AP6" s="87">
        <f>SUMIFS([2]WT报告!P:P,[2]WT报告!$C:$C,$N6,[2]WT报告!$H:$H,$X$2)</f>
        <v>0</v>
      </c>
      <c r="AQ6" s="129">
        <f>SUMIFS([2]WT报告!Q:Q,[2]WT报告!$C:$C,$N6,[2]WT报告!$H:$H,$X$2)</f>
        <v>0</v>
      </c>
      <c r="AR6" s="87">
        <f>SUMIFS([2]WT报告!J:J,[2]WT报告!$C:$C,$N6,[2]WT报告!$H:$H,$X$2)</f>
        <v>0</v>
      </c>
      <c r="AS6" s="133">
        <f>SUMIFS([2]WT报告!M:M,[2]WT报告!$C:$C,$N6,[2]WT报告!$H:$H,$X$2)</f>
        <v>0</v>
      </c>
      <c r="AT6" s="134">
        <f t="shared" si="10"/>
        <v>0</v>
      </c>
      <c r="AU6" s="122">
        <f t="shared" si="11"/>
        <v>0</v>
      </c>
      <c r="AV6" s="133">
        <f t="shared" si="12"/>
        <v>0</v>
      </c>
      <c r="AW6" s="123">
        <f t="shared" si="13"/>
        <v>0</v>
      </c>
      <c r="AX6" s="124">
        <f t="shared" si="14"/>
        <v>0</v>
      </c>
      <c r="AY6" s="117">
        <f t="shared" si="15"/>
        <v>0</v>
      </c>
      <c r="AZ6" s="122">
        <f t="shared" si="16"/>
        <v>0</v>
      </c>
      <c r="BA6" s="142">
        <f t="shared" si="17"/>
        <v>0</v>
      </c>
      <c r="BB6" s="122">
        <f t="shared" si="18"/>
        <v>0</v>
      </c>
      <c r="BC6" s="133">
        <f t="shared" si="19"/>
        <v>0</v>
      </c>
      <c r="BD6" s="123">
        <f t="shared" si="20"/>
        <v>0</v>
      </c>
      <c r="BE6" s="150">
        <f t="shared" si="21"/>
        <v>0</v>
      </c>
      <c r="BF6" s="123">
        <f t="shared" si="22"/>
        <v>0</v>
      </c>
      <c r="BG6" s="122">
        <f t="shared" si="23"/>
        <v>0</v>
      </c>
      <c r="BH6" s="122">
        <f>SUMIFS([2]SP!J:J,[2]SP!A:A,N6,[2]SP!H:H,$P$2)+SUMIFS([2]SP!J:J,[2]SP!A:A,N6,[2]SP!H:H,$T$2)</f>
        <v>0</v>
      </c>
      <c r="BI6" s="122">
        <f>SUMIFS([2]SP!K:K,[2]SP!A:A,N6,[2]SP!H:H,$P$2)+SUMIFS([2]SP!K:K,[2]SP!A:A,N6,[2]SP!H:H,$T$2)</f>
        <v>0</v>
      </c>
      <c r="BJ6" s="154">
        <f t="shared" si="24"/>
        <v>0</v>
      </c>
      <c r="BK6" s="124">
        <f t="shared" si="25"/>
        <v>0</v>
      </c>
      <c r="BL6" s="122">
        <f>SUMIFS([2]SP!R:R,[2]SP!A:A,N6,[2]SP!H:H,$P$2)+SUMIFS([2]SP!R:R,[2]SP!A:A,N6,[2]SP!H:H,$T$2)</f>
        <v>0</v>
      </c>
      <c r="BM6" s="124">
        <f>SUMIFS([2]SP!O:O,[2]SP!A:A,$N6,[2]SP!H:H,$P$2)+SUMIFS([2]SP!O:O,[2]SP!A:A,$N6,[2]SP!H:H,$T$2)</f>
        <v>0</v>
      </c>
      <c r="BN6" s="160">
        <f t="shared" si="26"/>
        <v>0</v>
      </c>
      <c r="BO6" s="122">
        <f>SUMIFS([2]SP!N:N,[2]SP!A:A,N6,[2]SP!H:H,$P$2)+SUMIFS([2]SP!N:N,[2]SP!A:A,N6,[2]SP!H:H,$T$2)</f>
        <v>0</v>
      </c>
      <c r="BP6" s="161">
        <f t="shared" si="27"/>
        <v>0</v>
      </c>
      <c r="BQ6" s="122">
        <f>SUMIFS([2]SD!J:J,[2]SD!A:A,N6,[2]SD!H:H,$P$2)+SUMIFS([2]SD!J:J,[2]SD!A:A,N6,[2]SD!H:H,$T$2)</f>
        <v>0</v>
      </c>
      <c r="BR6" s="122">
        <f>SUMIFS([2]SD!L:L,[2]SD!A:A,N6,[2]SD!H:H,$P$2)+SUMIFS([2]SD!L:L,[2]SD!A:A,N6,[2]SD!H:H,$T$2)</f>
        <v>0</v>
      </c>
      <c r="BS6" s="154">
        <f t="shared" si="28"/>
        <v>0</v>
      </c>
      <c r="BT6" s="124">
        <f t="shared" si="29"/>
        <v>0</v>
      </c>
      <c r="BU6" s="122">
        <f>SUMIFS([2]SD!U:U,[2]SD!A:A,N6,[2]SD!H:H,$P$2)+SUMIFS([2]SD!U:U,[2]SD!A:A,N6,[2]SD!H:H,$T$2)</f>
        <v>0</v>
      </c>
      <c r="BV6" s="124">
        <f>SUMIFS([2]SD!V:V,[2]SD!A:A,N6,[2]SD!H:H,$P$2)+SUMIFS([2]SD!V:V,[2]SD!A:A,N6,[2]SD!H:H,$T$2)</f>
        <v>0</v>
      </c>
      <c r="BW6" s="160">
        <f t="shared" si="30"/>
        <v>0</v>
      </c>
      <c r="BX6" s="124">
        <f>SUMIFS([2]SD!O:O,[2]SD!A:A,N6,[2]SD!H:H,$P$2)+SUMIFS([2]SD!O:O,[2]SD!A:A,N6,[2]SD!H:H,$T$2)</f>
        <v>0</v>
      </c>
      <c r="BY6" s="161">
        <f t="shared" si="31"/>
        <v>0</v>
      </c>
      <c r="BZ6" s="122">
        <f>SUMIFS([2]SB!H:H,[2]SB!B:B,N6,[2]SB!A:A,$P$2)+SUMIFS([2]SB!H:H,[2]SB!B:B,N6,[2]SB!A:A,$T$2)</f>
        <v>0</v>
      </c>
      <c r="CA6" s="122">
        <f>SUMIFS([2]SB!I:I,[2]SB!B:B,N6,[2]SB!A:A,$P$2)+SUMIFS([2]SB!I:I,[2]SB!B:B,N6,[2]SB!A:A,$T$2)</f>
        <v>0</v>
      </c>
      <c r="CB6" s="154">
        <f t="shared" si="32"/>
        <v>0</v>
      </c>
      <c r="CC6" s="124">
        <f t="shared" si="33"/>
        <v>0</v>
      </c>
      <c r="CD6" s="122">
        <f>SUMIFS([2]SB!Q:Q,[2]SB!B:B,N6,[2]SB!A:A,$P$2)+SUMIFS([2]SB!Q:Q,[2]SB!B:B,N6,[2]SB!A:A,$T$2)</f>
        <v>0</v>
      </c>
      <c r="CE6" s="124">
        <f>SUMIFS([2]SB!O:O,[2]SB!B:B,N6,[2]SB!A:A,$P$2)+SUMIFS([2]SB!O:O,[2]SB!B:B,N6,[2]SB!A:A,$T$2)</f>
        <v>0</v>
      </c>
      <c r="CF6" s="160">
        <f t="shared" si="34"/>
        <v>0</v>
      </c>
      <c r="CG6" s="124">
        <f>SUMIFS([2]SB!L:L,[2]SB!B:B,N6,[2]SB!A:A,$P$2)+SUMIFS([2]SB!L:L,[2]SB!B:B,N6,[2]SB!A:A,$T$2)</f>
        <v>0</v>
      </c>
      <c r="CH6" s="161">
        <f t="shared" si="35"/>
        <v>0</v>
      </c>
    </row>
    <row r="7" s="1" customFormat="1" ht="20" hidden="1" customHeight="1" spans="1:86">
      <c r="A7" s="17" cm="1">
        <f t="array" ref="A7">IFERROR(LOOKUP(1,0/(([2]业务报告!$A:$A=$N7)*([2]业务报告!$B:$B=$P$2)),[2]业务报告!AU:AU),"")</f>
        <v>0</v>
      </c>
      <c r="B7" s="17" t="str" cm="1">
        <f t="array" ref="B7">IFERROR(LOOKUP(1,0/(([2]业务报告!$A:$A=$N7)*([2]业务报告!$B:$B=$P$2)),[2]业务报告!AV:AV),"")</f>
        <v>3.2.3级词词组，cpc提高到2.35 曝光点击偏少，1070曝光只有5次点击，继续提高cpc到2.45</v>
      </c>
      <c r="C7" s="20">
        <f>SUMIFS([2]业务报告!AC:AC,[2]业务报告!$A:$A,$N7,[2]业务报告!$B:$B,$P$2)</f>
        <v>0</v>
      </c>
      <c r="D7" s="21">
        <f>SUMIFS([2]业务报告!AD:AD,[2]业务报告!$A:$A,$N7,[2]业务报告!$B:$B,$P$2)</f>
        <v>0</v>
      </c>
      <c r="E7" s="20" cm="1">
        <f t="array" ref="E7">_xlfn.XLOOKUP($N7&amp;$P$2,[2]业务报告!$A:$A&amp;[2]业务报告!$B:$B,[2]业务报告!AE:AE,"")</f>
        <v>0</v>
      </c>
      <c r="F7" s="28" t="str" cm="1">
        <f t="array" ref="F7">IFERROR(LOOKUP(1,0/(([2]业务报告!$A:$A=$N7)*([2]业务报告!$B:$B=$P$2)),[2]业务报告!AK:AK),0)</f>
        <v>WBD</v>
      </c>
      <c r="G7" s="29">
        <f>SUMIFS([2]业务报告!AF:AF,[2]业务报告!$A:$A,$N7,[2]业务报告!$B:$B,$P$2)</f>
        <v>319.89</v>
      </c>
      <c r="H7" s="30" t="str" cm="1">
        <f t="array" ref="H7">IFERROR(LOOKUP(1,0/(([2]业务报告!$A:$A=$N7)*([2]业务报告!B:B=$P$2)),[2]业务报告!AG:AG),0)</f>
        <v>/</v>
      </c>
      <c r="I7" s="30" cm="1">
        <f t="array" ref="I7">IFERROR(LOOKUP(1,0/(([2]业务报告!$A:$A=$N7)*([2]业务报告!$B:$B=$P$2)),[2]业务报告!AH:AH),0)</f>
        <v>79.99</v>
      </c>
      <c r="J7" s="30">
        <f>SUMIFS([2]WT报告!A:A,[2]WT报告!$C:$C,$N7,[2]WT报告!$H:$H,$X$2)</f>
        <v>0</v>
      </c>
      <c r="K7" s="28" cm="1">
        <f t="array" ref="K7">IFERROR(LOOKUP(1,0/(([2]业务报告!$A:$A=$N7)*([2]业务报告!$B:$B=$P$2)),[2]业务报告!AI:AI),0)</f>
        <v>0</v>
      </c>
      <c r="L7" s="28" cm="1">
        <f t="array" ref="L7">IFERROR(LOOKUP(1,0/(([2]业务报告!$A:$A=$N7)*([2]业务报告!$B:$B=$P$2)),[2]业务报告!AJ:AJ),0)</f>
        <v>0</v>
      </c>
      <c r="M7" s="49" t="str">
        <f t="shared" si="0"/>
        <v>周3</v>
      </c>
      <c r="N7" s="50">
        <f>DATE($O$1,$O$2,DAY(N6)+1)</f>
        <v>45903</v>
      </c>
      <c r="O7" s="51">
        <f>SUMIFS([2]业务报告!G:G,[2]业务报告!$A:$A,$N7,[2]业务报告!$B:$B,$P$2)+SUMIFS([2]业务报告!G:G,[2]业务报告!$A:$A,$N7,[2]业务报告!$B:$B,$T$2)</f>
        <v>0</v>
      </c>
      <c r="P7" s="51">
        <f>SUMIFS([2]业务报告!H:H,[2]业务报告!$A:$A,$N7,[2]业务报告!$B:$B,$P$2)+SUMIFS([2]业务报告!H:H,[2]业务报告!$A:$A,$N7,[2]业务报告!$B:$B,$T$2)</f>
        <v>0</v>
      </c>
      <c r="Q7" s="51">
        <f>SUMIFS([2]业务报告!I:I,[2]业务报告!$A:$A,$N7,[2]业务报告!$B:$B,$P$2)+SUMIFS([2]业务报告!I:I,[2]业务报告!$A:$A,$N7,[2]业务报告!$B:$B,$T$2)</f>
        <v>0</v>
      </c>
      <c r="R7" s="51">
        <f>SUMIFS([2]业务报告!T:T,[2]业务报告!$A:$A,$N7,[2]业务报告!$B:$B,$P$2)+SUMIFS([2]业务报告!T:T,[2]业务报告!$A:$A,$N7,[2]业务报告!$B:$B,$T$2)</f>
        <v>0</v>
      </c>
      <c r="S7" s="65">
        <f t="shared" si="1"/>
        <v>0</v>
      </c>
      <c r="T7" s="66">
        <f>SUMIFS([2]业务报告!X:X,[2]业务报告!$A:$A,$N7,[2]业务报告!$B:$B,$P$2)+SUMIFS([2]业务报告!X:X,[2]业务报告!$A:$A,$N7,[2]业务报告!$B:$B,$T$2)</f>
        <v>0</v>
      </c>
      <c r="U7" s="28">
        <f>SUMIFS([2]业务报告!AO:AO,[2]业务报告!$A:$A,$N7,[2]业务报告!$B:$B,$P$2)+SUMIFS([2]业务报告!AP:AP,[2]业务报告!$A:$A,$N7,[2]业务报告!$B:$B,$P$2)</f>
        <v>0</v>
      </c>
      <c r="V7" s="73">
        <f>SUMIFS([2]WT报告!I:I,[2]WT报告!$C:$C,$N7,[2]WT报告!$H:$H,$X$2)</f>
        <v>0</v>
      </c>
      <c r="W7" s="66">
        <f>SUMIFS([2]WT报告!Z:Z,[2]WT报告!$C:$C,$N7,[2]WT报告!$H:$H,$X$2)</f>
        <v>0</v>
      </c>
      <c r="X7" s="73">
        <f>SUMIFS([2]业务报告!AS:AS,[2]业务报告!$A:$A,$N7,[2]业务报告!$B:$B,$P$2)+SUMIFS([2]业务报告!AS:AS,[2]业务报告!$A:$A,$N7,[2]业务报告!$B:$B,$T$2)+V7</f>
        <v>0</v>
      </c>
      <c r="Y7" s="85">
        <f>SUMIFS([2]业务报告!AO:AO,[2]业务报告!$A:$A,$N7,[2]业务报告!$B:$B,$P$2)*SUMIFS([2]业务报告!AM:AM,[2]业务报告!$A:$A,$N7,[2]业务报告!$B:$B,$P$2)/$AC$2+SUMIFS([2]业务报告!AP:AP,[2]业务报告!$A:$A,$N7,[2]业务报告!$B:$B,$P$2)*SUMIFS([2]业务报告!AN:AN,[2]业务报告!$A:$A,$N7,[2]业务报告!$B:$B,$P$2)/$AC$2</f>
        <v>0</v>
      </c>
      <c r="Z7" s="86">
        <f>(I7*(1-$AD$2-4%-10%)-$AD$1-$AC$1/$AC$2)*BB7-BC7</f>
        <v>0</v>
      </c>
      <c r="AA7" s="87">
        <f>(I7*(1-$AD$2-4%-10%)-$AD$1-$AC$1/$AC$2)*(R7-IF(R7&gt;V7,SUMIFS([2]业务报告!AO:AO,[2]业务报告!$A:$A,$N7,[2]业务报告!$B:$B,$P$2),0))-BC7</f>
        <v>0</v>
      </c>
      <c r="AB7" s="88">
        <f t="shared" si="2"/>
        <v>0</v>
      </c>
      <c r="AC7" s="86">
        <f>AR7*(J7-$AC$1/$AC$2-J7*4%)-AS7</f>
        <v>0</v>
      </c>
      <c r="AD7" s="87">
        <f>(V7-IF(R7&lt;V7,SUMIFS([2]业务报告!AO:AO,[2]业务报告!$A:$A,$N7,[2]业务报告!$B:$B,$P$2),0))*(J7-$AC$1/$AC$2-J7*4%)-AS7</f>
        <v>0</v>
      </c>
      <c r="AE7" s="87" cm="1">
        <f t="array" ref="AE7">IFERROR(LOOKUP(1,0/(([2]业务报告!$A:$A=$N7)*([2]业务报告!$B:$B=$P$2)),[2]业务报告!AQ:AQ),0)*$AH$2</f>
        <v>0</v>
      </c>
      <c r="AF7" s="87" cm="1">
        <f t="array" ref="AF7">IFERROR(LOOKUP(1,0/(([2]业务报告!$A:$A=$N7)*([2]业务报告!$B:$B=$P$2)),[2]业务报告!AR:AR),0)*$AG$2</f>
        <v>0</v>
      </c>
      <c r="AG7" s="87">
        <f t="shared" si="3"/>
        <v>0</v>
      </c>
      <c r="AH7" s="88">
        <f t="shared" si="4"/>
        <v>0</v>
      </c>
      <c r="AI7" s="116">
        <f t="shared" si="5"/>
        <v>0</v>
      </c>
      <c r="AJ7" s="117">
        <f t="shared" si="6"/>
        <v>0</v>
      </c>
      <c r="AK7" s="122">
        <f t="shared" si="7"/>
        <v>0</v>
      </c>
      <c r="AL7" s="116">
        <f>SUMIFS([2]WT报告!S:S,[2]WT报告!$C:$C,$N7,[2]WT报告!$H:$H,$X$2)</f>
        <v>0</v>
      </c>
      <c r="AM7" s="123">
        <f t="shared" si="8"/>
        <v>0</v>
      </c>
      <c r="AN7" s="124">
        <f>SUMIFS([2]WT报告!N:N,[2]WT报告!$C:$C,$N7,[2]WT报告!$H:$H,$X$2)</f>
        <v>0</v>
      </c>
      <c r="AO7" s="117">
        <f t="shared" si="9"/>
        <v>0</v>
      </c>
      <c r="AP7" s="87">
        <f>SUMIFS([2]WT报告!P:P,[2]WT报告!$C:$C,$N7,[2]WT报告!$H:$H,$X$2)</f>
        <v>0</v>
      </c>
      <c r="AQ7" s="129">
        <f>SUMIFS([2]WT报告!Q:Q,[2]WT报告!$C:$C,$N7,[2]WT报告!$H:$H,$X$2)</f>
        <v>0</v>
      </c>
      <c r="AR7" s="87">
        <f>SUMIFS([2]WT报告!J:J,[2]WT报告!$C:$C,$N7,[2]WT报告!$H:$H,$X$2)</f>
        <v>0</v>
      </c>
      <c r="AS7" s="133">
        <f>SUMIFS([2]WT报告!M:M,[2]WT报告!$C:$C,$N7,[2]WT报告!$H:$H,$X$2)</f>
        <v>0</v>
      </c>
      <c r="AT7" s="134">
        <f t="shared" si="10"/>
        <v>0</v>
      </c>
      <c r="AU7" s="122">
        <f t="shared" si="11"/>
        <v>0</v>
      </c>
      <c r="AV7" s="133">
        <f t="shared" si="12"/>
        <v>0</v>
      </c>
      <c r="AW7" s="123">
        <f t="shared" si="13"/>
        <v>0</v>
      </c>
      <c r="AX7" s="124">
        <f t="shared" si="14"/>
        <v>0</v>
      </c>
      <c r="AY7" s="117">
        <f t="shared" si="15"/>
        <v>0</v>
      </c>
      <c r="AZ7" s="122">
        <f t="shared" si="16"/>
        <v>0</v>
      </c>
      <c r="BA7" s="142">
        <f t="shared" si="17"/>
        <v>0</v>
      </c>
      <c r="BB7" s="122">
        <f t="shared" si="18"/>
        <v>0</v>
      </c>
      <c r="BC7" s="133">
        <f t="shared" si="19"/>
        <v>0</v>
      </c>
      <c r="BD7" s="123">
        <f t="shared" si="20"/>
        <v>0</v>
      </c>
      <c r="BE7" s="150">
        <f t="shared" si="21"/>
        <v>0</v>
      </c>
      <c r="BF7" s="123">
        <f t="shared" si="22"/>
        <v>0</v>
      </c>
      <c r="BG7" s="122">
        <f t="shared" si="23"/>
        <v>0</v>
      </c>
      <c r="BH7" s="122">
        <f>SUMIFS([2]SP!J:J,[2]SP!A:A,N7,[2]SP!H:H,$P$2)+SUMIFS([2]SP!J:J,[2]SP!A:A,N7,[2]SP!H:H,$T$2)</f>
        <v>0</v>
      </c>
      <c r="BI7" s="122">
        <f>SUMIFS([2]SP!K:K,[2]SP!A:A,N7,[2]SP!H:H,$P$2)+SUMIFS([2]SP!K:K,[2]SP!A:A,N7,[2]SP!H:H,$T$2)</f>
        <v>0</v>
      </c>
      <c r="BJ7" s="154">
        <f t="shared" si="24"/>
        <v>0</v>
      </c>
      <c r="BK7" s="124">
        <f t="shared" si="25"/>
        <v>0</v>
      </c>
      <c r="BL7" s="122">
        <f>SUMIFS([2]SP!R:R,[2]SP!A:A,N7,[2]SP!H:H,$P$2)+SUMIFS([2]SP!R:R,[2]SP!A:A,N7,[2]SP!H:H,$T$2)</f>
        <v>0</v>
      </c>
      <c r="BM7" s="124">
        <f>SUMIFS([2]SP!O:O,[2]SP!A:A,$N7,[2]SP!H:H,$P$2)+SUMIFS([2]SP!O:O,[2]SP!A:A,$N7,[2]SP!H:H,$T$2)</f>
        <v>0</v>
      </c>
      <c r="BN7" s="160">
        <f t="shared" si="26"/>
        <v>0</v>
      </c>
      <c r="BO7" s="122">
        <f>SUMIFS([2]SP!N:N,[2]SP!A:A,N7,[2]SP!H:H,$P$2)+SUMIFS([2]SP!N:N,[2]SP!A:A,N7,[2]SP!H:H,$T$2)</f>
        <v>0</v>
      </c>
      <c r="BP7" s="161">
        <f t="shared" si="27"/>
        <v>0</v>
      </c>
      <c r="BQ7" s="122">
        <f>SUMIFS([2]SD!J:J,[2]SD!A:A,N7,[2]SD!H:H,$P$2)+SUMIFS([2]SD!J:J,[2]SD!A:A,N7,[2]SD!H:H,$T$2)</f>
        <v>0</v>
      </c>
      <c r="BR7" s="122">
        <f>SUMIFS([2]SD!L:L,[2]SD!A:A,N7,[2]SD!H:H,$P$2)+SUMIFS([2]SD!L:L,[2]SD!A:A,N7,[2]SD!H:H,$T$2)</f>
        <v>0</v>
      </c>
      <c r="BS7" s="154">
        <f t="shared" si="28"/>
        <v>0</v>
      </c>
      <c r="BT7" s="124">
        <f t="shared" si="29"/>
        <v>0</v>
      </c>
      <c r="BU7" s="122">
        <f>SUMIFS([2]SD!U:U,[2]SD!A:A,N7,[2]SD!H:H,$P$2)+SUMIFS([2]SD!U:U,[2]SD!A:A,N7,[2]SD!H:H,$T$2)</f>
        <v>0</v>
      </c>
      <c r="BV7" s="124">
        <f>SUMIFS([2]SD!V:V,[2]SD!A:A,N7,[2]SD!H:H,$P$2)+SUMIFS([2]SD!V:V,[2]SD!A:A,N7,[2]SD!H:H,$T$2)</f>
        <v>0</v>
      </c>
      <c r="BW7" s="160">
        <f t="shared" si="30"/>
        <v>0</v>
      </c>
      <c r="BX7" s="124">
        <f>SUMIFS([2]SD!O:O,[2]SD!A:A,N7,[2]SD!H:H,$P$2)+SUMIFS([2]SD!O:O,[2]SD!A:A,N7,[2]SD!H:H,$T$2)</f>
        <v>0</v>
      </c>
      <c r="BY7" s="161">
        <f t="shared" si="31"/>
        <v>0</v>
      </c>
      <c r="BZ7" s="122">
        <f>SUMIFS([2]SB!H:H,[2]SB!B:B,N7,[2]SB!A:A,$P$2)+SUMIFS([2]SB!H:H,[2]SB!B:B,N7,[2]SB!A:A,$T$2)</f>
        <v>0</v>
      </c>
      <c r="CA7" s="122">
        <f>SUMIFS([2]SB!I:I,[2]SB!B:B,N7,[2]SB!A:A,$P$2)+SUMIFS([2]SB!I:I,[2]SB!B:B,N7,[2]SB!A:A,$T$2)</f>
        <v>0</v>
      </c>
      <c r="CB7" s="154">
        <f t="shared" si="32"/>
        <v>0</v>
      </c>
      <c r="CC7" s="124">
        <f t="shared" si="33"/>
        <v>0</v>
      </c>
      <c r="CD7" s="122">
        <f>SUMIFS([2]SB!Q:Q,[2]SB!B:B,N7,[2]SB!A:A,$P$2)+SUMIFS([2]SB!Q:Q,[2]SB!B:B,N7,[2]SB!A:A,$T$2)</f>
        <v>0</v>
      </c>
      <c r="CE7" s="124">
        <f>SUMIFS([2]SB!O:O,[2]SB!B:B,N7,[2]SB!A:A,$P$2)+SUMIFS([2]SB!O:O,[2]SB!B:B,N7,[2]SB!A:A,$T$2)</f>
        <v>0</v>
      </c>
      <c r="CF7" s="160">
        <f t="shared" si="34"/>
        <v>0</v>
      </c>
      <c r="CG7" s="124">
        <f>SUMIFS([2]SB!L:L,[2]SB!B:B,N7,[2]SB!A:A,$P$2)+SUMIFS([2]SB!L:L,[2]SB!B:B,N7,[2]SB!A:A,$T$2)</f>
        <v>0</v>
      </c>
      <c r="CH7" s="161">
        <f t="shared" si="35"/>
        <v>0</v>
      </c>
    </row>
    <row r="8" s="1" customFormat="1" ht="20" hidden="1" customHeight="1" spans="1:86">
      <c r="A8" s="17" cm="1">
        <f t="array" ref="A8">IFERROR(LOOKUP(1,0/(([2]业务报告!$A:$A=$N8)*([2]业务报告!$B:$B=$P$2)),[2]业务报告!AU:AU),"")</f>
        <v>0</v>
      </c>
      <c r="B8" s="17" t="str" cm="1">
        <f t="array" ref="B8">IFERROR(LOOKUP(1,0/(([2]业务报告!$A:$A=$N8)*([2]业务报告!$B:$B=$P$2)),[2]业务报告!AV:AV),"")</f>
        <v>4.2.3级词精准，cpc提高到2.5 ，曝光点击达到预期，无转化，主要预算花在 laser hair removal for women /ipl laser hair removal 各点击10次无转化，继续观察</v>
      </c>
      <c r="C8" s="20">
        <f>SUMIFS([2]业务报告!AC:AC,[2]业务报告!$A:$A,$N8,[2]业务报告!$B:$B,$P$2)</f>
        <v>0</v>
      </c>
      <c r="D8" s="21">
        <f>SUMIFS([2]业务报告!AD:AD,[2]业务报告!$A:$A,$N8,[2]业务报告!$B:$B,$P$2)</f>
        <v>0</v>
      </c>
      <c r="E8" s="20" cm="1">
        <f t="array" ref="E8">_xlfn.XLOOKUP($N8&amp;$P$2,[2]业务报告!$A:$A&amp;[2]业务报告!$B:$B,[2]业务报告!AE:AE,"")</f>
        <v>0</v>
      </c>
      <c r="F8" s="28" t="str" cm="1">
        <f t="array" ref="F8">IFERROR(LOOKUP(1,0/(([2]业务报告!$A:$A=$N8)*([2]业务报告!$B:$B=$P$2)),[2]业务报告!AK:AK),0)</f>
        <v>WBD</v>
      </c>
      <c r="G8" s="29">
        <f>SUMIFS([2]业务报告!AF:AF,[2]业务报告!$A:$A,$N8,[2]业务报告!$B:$B,$P$2)</f>
        <v>319.89</v>
      </c>
      <c r="H8" s="30" t="str" cm="1">
        <f t="array" ref="H8">IFERROR(LOOKUP(1,0/(([2]业务报告!$A:$A=$N8)*([2]业务报告!B:B=$P$2)),[2]业务报告!AG:AG),0)</f>
        <v>/</v>
      </c>
      <c r="I8" s="30" cm="1">
        <f t="array" ref="I8">IFERROR(LOOKUP(1,0/(([2]业务报告!$A:$A=$N8)*([2]业务报告!$B:$B=$P$2)),[2]业务报告!AH:AH),0)</f>
        <v>79.99</v>
      </c>
      <c r="J8" s="30">
        <f>SUMIFS([2]WT报告!A:A,[2]WT报告!$C:$C,$N8,[2]WT报告!$H:$H,$X$2)</f>
        <v>0</v>
      </c>
      <c r="K8" s="28" cm="1">
        <f t="array" ref="K8">IFERROR(LOOKUP(1,0/(([2]业务报告!$A:$A=$N8)*([2]业务报告!$B:$B=$P$2)),[2]业务报告!AI:AI),0)</f>
        <v>0</v>
      </c>
      <c r="L8" s="28" cm="1">
        <f t="array" ref="L8">IFERROR(LOOKUP(1,0/(([2]业务报告!$A:$A=$N8)*([2]业务报告!$B:$B=$P$2)),[2]业务报告!AJ:AJ),0)</f>
        <v>0</v>
      </c>
      <c r="M8" s="49" t="str">
        <f t="shared" si="0"/>
        <v>周4</v>
      </c>
      <c r="N8" s="50">
        <f>DATE($O$1,$O$2,DAY(N7)+1)</f>
        <v>45904</v>
      </c>
      <c r="O8" s="51">
        <f>SUMIFS([2]业务报告!G:G,[2]业务报告!$A:$A,$N8,[2]业务报告!$B:$B,$P$2)+SUMIFS([2]业务报告!G:G,[2]业务报告!$A:$A,$N8,[2]业务报告!$B:$B,$T$2)</f>
        <v>0</v>
      </c>
      <c r="P8" s="51">
        <f>SUMIFS([2]业务报告!H:H,[2]业务报告!$A:$A,$N8,[2]业务报告!$B:$B,$P$2)+SUMIFS([2]业务报告!H:H,[2]业务报告!$A:$A,$N8,[2]业务报告!$B:$B,$T$2)</f>
        <v>0</v>
      </c>
      <c r="Q8" s="51">
        <f>SUMIFS([2]业务报告!I:I,[2]业务报告!$A:$A,$N8,[2]业务报告!$B:$B,$P$2)+SUMIFS([2]业务报告!I:I,[2]业务报告!$A:$A,$N8,[2]业务报告!$B:$B,$T$2)</f>
        <v>0</v>
      </c>
      <c r="R8" s="51">
        <f>SUMIFS([2]业务报告!T:T,[2]业务报告!$A:$A,$N8,[2]业务报告!$B:$B,$P$2)+SUMIFS([2]业务报告!T:T,[2]业务报告!$A:$A,$N8,[2]业务报告!$B:$B,$T$2)</f>
        <v>0</v>
      </c>
      <c r="S8" s="65">
        <f t="shared" si="1"/>
        <v>0</v>
      </c>
      <c r="T8" s="66">
        <f>SUMIFS([2]业务报告!X:X,[2]业务报告!$A:$A,$N8,[2]业务报告!$B:$B,$P$2)+SUMIFS([2]业务报告!X:X,[2]业务报告!$A:$A,$N8,[2]业务报告!$B:$B,$T$2)</f>
        <v>0</v>
      </c>
      <c r="U8" s="28">
        <f>SUMIFS([2]业务报告!AO:AO,[2]业务报告!$A:$A,$N8,[2]业务报告!$B:$B,$P$2)+SUMIFS([2]业务报告!AP:AP,[2]业务报告!$A:$A,$N8,[2]业务报告!$B:$B,$P$2)</f>
        <v>0</v>
      </c>
      <c r="V8" s="73">
        <f>SUMIFS([2]WT报告!I:I,[2]WT报告!$C:$C,$N8,[2]WT报告!$H:$H,$X$2)</f>
        <v>0</v>
      </c>
      <c r="W8" s="66">
        <f>SUMIFS([2]WT报告!Z:Z,[2]WT报告!$C:$C,$N8,[2]WT报告!$H:$H,$X$2)</f>
        <v>0</v>
      </c>
      <c r="X8" s="73">
        <f>SUMIFS([2]业务报告!AS:AS,[2]业务报告!$A:$A,$N8,[2]业务报告!$B:$B,$P$2)+SUMIFS([2]业务报告!AS:AS,[2]业务报告!$A:$A,$N8,[2]业务报告!$B:$B,$T$2)+V8</f>
        <v>0</v>
      </c>
      <c r="Y8" s="85">
        <f>SUMIFS([2]业务报告!AO:AO,[2]业务报告!$A:$A,$N8,[2]业务报告!$B:$B,$P$2)*SUMIFS([2]业务报告!AM:AM,[2]业务报告!$A:$A,$N8,[2]业务报告!$B:$B,$P$2)/$AC$2+SUMIFS([2]业务报告!AP:AP,[2]业务报告!$A:$A,$N8,[2]业务报告!$B:$B,$P$2)*SUMIFS([2]业务报告!AN:AN,[2]业务报告!$A:$A,$N8,[2]业务报告!$B:$B,$P$2)/$AC$2</f>
        <v>0</v>
      </c>
      <c r="Z8" s="86">
        <f>(I8*(1-$AD$2-4%-10%)-$AD$1-$AC$1/$AC$2)*BB8-BC8</f>
        <v>0</v>
      </c>
      <c r="AA8" s="87">
        <f>(I8*(1-$AD$2-4%-10%)-$AD$1-$AC$1/$AC$2)*(R8-IF(R8&gt;V8,SUMIFS([2]业务报告!AO:AO,[2]业务报告!$A:$A,$N8,[2]业务报告!$B:$B,$P$2),0))-BC8</f>
        <v>0</v>
      </c>
      <c r="AB8" s="88">
        <f t="shared" si="2"/>
        <v>0</v>
      </c>
      <c r="AC8" s="86">
        <f>AR8*(J8-$AC$1/$AC$2-J8*4%)-AS8</f>
        <v>0</v>
      </c>
      <c r="AD8" s="87">
        <f>(V8-IF(R8&lt;V8,SUMIFS([2]业务报告!AO:AO,[2]业务报告!$A:$A,$N8,[2]业务报告!$B:$B,$P$2),0))*(J8-$AC$1/$AC$2-J8*4%)-AS8</f>
        <v>0</v>
      </c>
      <c r="AE8" s="87" cm="1">
        <f t="array" ref="AE8">IFERROR(LOOKUP(1,0/(([2]业务报告!$A:$A=$N8)*([2]业务报告!$B:$B=$P$2)),[2]业务报告!AQ:AQ),0)*$AH$2</f>
        <v>0</v>
      </c>
      <c r="AF8" s="87" cm="1">
        <f t="array" ref="AF8">IFERROR(LOOKUP(1,0/(([2]业务报告!$A:$A=$N8)*([2]业务报告!$B:$B=$P$2)),[2]业务报告!AR:AR),0)*$AG$2</f>
        <v>0</v>
      </c>
      <c r="AG8" s="87">
        <f t="shared" si="3"/>
        <v>0</v>
      </c>
      <c r="AH8" s="88">
        <f t="shared" si="4"/>
        <v>0</v>
      </c>
      <c r="AI8" s="116">
        <f t="shared" si="5"/>
        <v>0</v>
      </c>
      <c r="AJ8" s="117">
        <f t="shared" si="6"/>
        <v>0</v>
      </c>
      <c r="AK8" s="122">
        <f t="shared" si="7"/>
        <v>0</v>
      </c>
      <c r="AL8" s="116">
        <f>SUMIFS([2]WT报告!S:S,[2]WT报告!$C:$C,$N8,[2]WT报告!$H:$H,$X$2)</f>
        <v>0</v>
      </c>
      <c r="AM8" s="123">
        <f t="shared" si="8"/>
        <v>0</v>
      </c>
      <c r="AN8" s="124">
        <f>SUMIFS([2]WT报告!N:N,[2]WT报告!$C:$C,$N8,[2]WT报告!$H:$H,$X$2)</f>
        <v>0</v>
      </c>
      <c r="AO8" s="117">
        <f t="shared" si="9"/>
        <v>0</v>
      </c>
      <c r="AP8" s="87">
        <f>SUMIFS([2]WT报告!P:P,[2]WT报告!$C:$C,$N8,[2]WT报告!$H:$H,$X$2)</f>
        <v>0</v>
      </c>
      <c r="AQ8" s="129">
        <f>SUMIFS([2]WT报告!Q:Q,[2]WT报告!$C:$C,$N8,[2]WT报告!$H:$H,$X$2)</f>
        <v>0</v>
      </c>
      <c r="AR8" s="87">
        <f>SUMIFS([2]WT报告!J:J,[2]WT报告!$C:$C,$N8,[2]WT报告!$H:$H,$X$2)</f>
        <v>0</v>
      </c>
      <c r="AS8" s="133">
        <f>SUMIFS([2]WT报告!M:M,[2]WT报告!$C:$C,$N8,[2]WT报告!$H:$H,$X$2)</f>
        <v>0</v>
      </c>
      <c r="AT8" s="134">
        <f t="shared" si="10"/>
        <v>0</v>
      </c>
      <c r="AU8" s="122">
        <f t="shared" si="11"/>
        <v>0</v>
      </c>
      <c r="AV8" s="133">
        <f t="shared" si="12"/>
        <v>0</v>
      </c>
      <c r="AW8" s="123">
        <f t="shared" si="13"/>
        <v>0</v>
      </c>
      <c r="AX8" s="124">
        <f t="shared" si="14"/>
        <v>0</v>
      </c>
      <c r="AY8" s="117">
        <f t="shared" si="15"/>
        <v>0</v>
      </c>
      <c r="AZ8" s="122">
        <f t="shared" si="16"/>
        <v>0</v>
      </c>
      <c r="BA8" s="142">
        <f t="shared" si="17"/>
        <v>0</v>
      </c>
      <c r="BB8" s="122">
        <f t="shared" si="18"/>
        <v>0</v>
      </c>
      <c r="BC8" s="133">
        <f t="shared" si="19"/>
        <v>0</v>
      </c>
      <c r="BD8" s="123">
        <f t="shared" si="20"/>
        <v>0</v>
      </c>
      <c r="BE8" s="150">
        <f t="shared" si="21"/>
        <v>0</v>
      </c>
      <c r="BF8" s="123">
        <f t="shared" si="22"/>
        <v>0</v>
      </c>
      <c r="BG8" s="122">
        <f t="shared" si="23"/>
        <v>0</v>
      </c>
      <c r="BH8" s="122">
        <f>SUMIFS([2]SP!J:J,[2]SP!A:A,N8,[2]SP!H:H,$P$2)+SUMIFS([2]SP!J:J,[2]SP!A:A,N8,[2]SP!H:H,$T$2)</f>
        <v>0</v>
      </c>
      <c r="BI8" s="122">
        <f>SUMIFS([2]SP!K:K,[2]SP!A:A,N8,[2]SP!H:H,$P$2)+SUMIFS([2]SP!K:K,[2]SP!A:A,N8,[2]SP!H:H,$T$2)</f>
        <v>0</v>
      </c>
      <c r="BJ8" s="154">
        <f t="shared" si="24"/>
        <v>0</v>
      </c>
      <c r="BK8" s="124">
        <f t="shared" si="25"/>
        <v>0</v>
      </c>
      <c r="BL8" s="122">
        <f>SUMIFS([2]SP!R:R,[2]SP!A:A,N8,[2]SP!H:H,$P$2)+SUMIFS([2]SP!R:R,[2]SP!A:A,N8,[2]SP!H:H,$T$2)</f>
        <v>0</v>
      </c>
      <c r="BM8" s="124">
        <f>SUMIFS([2]SP!O:O,[2]SP!A:A,$N8,[2]SP!H:H,$P$2)+SUMIFS([2]SP!O:O,[2]SP!A:A,$N8,[2]SP!H:H,$T$2)</f>
        <v>0</v>
      </c>
      <c r="BN8" s="160">
        <f t="shared" si="26"/>
        <v>0</v>
      </c>
      <c r="BO8" s="122">
        <f>SUMIFS([2]SP!N:N,[2]SP!A:A,N8,[2]SP!H:H,$P$2)+SUMIFS([2]SP!N:N,[2]SP!A:A,N8,[2]SP!H:H,$T$2)</f>
        <v>0</v>
      </c>
      <c r="BP8" s="161">
        <f t="shared" si="27"/>
        <v>0</v>
      </c>
      <c r="BQ8" s="122">
        <f>SUMIFS([2]SD!J:J,[2]SD!A:A,N8,[2]SD!H:H,$P$2)+SUMIFS([2]SD!J:J,[2]SD!A:A,N8,[2]SD!H:H,$T$2)</f>
        <v>0</v>
      </c>
      <c r="BR8" s="122">
        <f>SUMIFS([2]SD!L:L,[2]SD!A:A,N8,[2]SD!H:H,$P$2)+SUMIFS([2]SD!L:L,[2]SD!A:A,N8,[2]SD!H:H,$T$2)</f>
        <v>0</v>
      </c>
      <c r="BS8" s="154">
        <f t="shared" si="28"/>
        <v>0</v>
      </c>
      <c r="BT8" s="124">
        <f t="shared" si="29"/>
        <v>0</v>
      </c>
      <c r="BU8" s="122">
        <f>SUMIFS([2]SD!U:U,[2]SD!A:A,N8,[2]SD!H:H,$P$2)+SUMIFS([2]SD!U:U,[2]SD!A:A,N8,[2]SD!H:H,$T$2)</f>
        <v>0</v>
      </c>
      <c r="BV8" s="124">
        <f>SUMIFS([2]SD!V:V,[2]SD!A:A,N8,[2]SD!H:H,$P$2)+SUMIFS([2]SD!V:V,[2]SD!A:A,N8,[2]SD!H:H,$T$2)</f>
        <v>0</v>
      </c>
      <c r="BW8" s="160">
        <f t="shared" si="30"/>
        <v>0</v>
      </c>
      <c r="BX8" s="124">
        <f>SUMIFS([2]SD!O:O,[2]SD!A:A,N8,[2]SD!H:H,$P$2)+SUMIFS([2]SD!O:O,[2]SD!A:A,N8,[2]SD!H:H,$T$2)</f>
        <v>0</v>
      </c>
      <c r="BY8" s="161">
        <f t="shared" si="31"/>
        <v>0</v>
      </c>
      <c r="BZ8" s="122">
        <f>SUMIFS([2]SB!H:H,[2]SB!B:B,N8,[2]SB!A:A,$P$2)+SUMIFS([2]SB!H:H,[2]SB!B:B,N8,[2]SB!A:A,$T$2)</f>
        <v>0</v>
      </c>
      <c r="CA8" s="122">
        <f>SUMIFS([2]SB!I:I,[2]SB!B:B,N8,[2]SB!A:A,$P$2)+SUMIFS([2]SB!I:I,[2]SB!B:B,N8,[2]SB!A:A,$T$2)</f>
        <v>0</v>
      </c>
      <c r="CB8" s="154">
        <f t="shared" si="32"/>
        <v>0</v>
      </c>
      <c r="CC8" s="124">
        <f t="shared" si="33"/>
        <v>0</v>
      </c>
      <c r="CD8" s="122">
        <f>SUMIFS([2]SB!Q:Q,[2]SB!B:B,N8,[2]SB!A:A,$P$2)+SUMIFS([2]SB!Q:Q,[2]SB!B:B,N8,[2]SB!A:A,$T$2)</f>
        <v>0</v>
      </c>
      <c r="CE8" s="124">
        <f>SUMIFS([2]SB!O:O,[2]SB!B:B,N8,[2]SB!A:A,$P$2)+SUMIFS([2]SB!O:O,[2]SB!B:B,N8,[2]SB!A:A,$T$2)</f>
        <v>0</v>
      </c>
      <c r="CF8" s="160">
        <f t="shared" si="34"/>
        <v>0</v>
      </c>
      <c r="CG8" s="124">
        <f>SUMIFS([2]SB!L:L,[2]SB!B:B,N8,[2]SB!A:A,$P$2)+SUMIFS([2]SB!L:L,[2]SB!B:B,N8,[2]SB!A:A,$T$2)</f>
        <v>0</v>
      </c>
      <c r="CH8" s="161">
        <f t="shared" si="35"/>
        <v>0</v>
      </c>
    </row>
    <row r="9" s="1" customFormat="1" ht="20" hidden="1" customHeight="1" spans="1:86">
      <c r="A9" s="17" cm="1">
        <f t="array" ref="A9">IFERROR(LOOKUP(1,0/(([2]业务报告!$A:$A=$N9)*([2]业务报告!$B:$B=$P$2)),[2]业务报告!AU:AU),"")</f>
        <v>0</v>
      </c>
      <c r="B9" s="17" t="str" cm="1">
        <f t="array" ref="B9">IFERROR(LOOKUP(1,0/(([2]业务报告!$A:$A=$N9)*([2]业务报告!$B:$B=$P$2)),[2]业务报告!AV:AV),"")</f>
        <v>5.长尾词精准提高竞价到 2美金，只有3次点击，今晚继续提高cpc到2.3</v>
      </c>
      <c r="C9" s="20">
        <f>SUMIFS([2]业务报告!AC:AC,[2]业务报告!$A:$A,$N9,[2]业务报告!$B:$B,$P$2)</f>
        <v>0</v>
      </c>
      <c r="D9" s="21">
        <f>SUMIFS([2]业务报告!AD:AD,[2]业务报告!$A:$A,$N9,[2]业务报告!$B:$B,$P$2)</f>
        <v>0</v>
      </c>
      <c r="E9" s="20" cm="1">
        <f t="array" ref="E9">_xlfn.XLOOKUP($N9&amp;$P$2,[2]业务报告!$A:$A&amp;[2]业务报告!$B:$B,[2]业务报告!AE:AE,"")</f>
        <v>0</v>
      </c>
      <c r="F9" s="28" t="str" cm="1">
        <f t="array" ref="F9">IFERROR(LOOKUP(1,0/(([2]业务报告!$A:$A=$N9)*([2]业务报告!$B:$B=$P$2)),[2]业务报告!AK:AK),0)</f>
        <v>WBD</v>
      </c>
      <c r="G9" s="29">
        <f>SUMIFS([2]业务报告!AF:AF,[2]业务报告!$A:$A,$N9,[2]业务报告!$B:$B,$P$2)</f>
        <v>319.89</v>
      </c>
      <c r="H9" s="30" t="str" cm="1">
        <f t="array" ref="H9">IFERROR(LOOKUP(1,0/(([2]业务报告!$A:$A=$N9)*([2]业务报告!B:B=$P$2)),[2]业务报告!AG:AG),0)</f>
        <v>/</v>
      </c>
      <c r="I9" s="30" cm="1">
        <f t="array" ref="I9">IFERROR(LOOKUP(1,0/(([2]业务报告!$A:$A=$N9)*([2]业务报告!$B:$B=$P$2)),[2]业务报告!AH:AH),0)</f>
        <v>79.99</v>
      </c>
      <c r="J9" s="30">
        <f>SUMIFS([2]WT报告!A:A,[2]WT报告!$C:$C,$N9,[2]WT报告!$H:$H,$X$2)</f>
        <v>0</v>
      </c>
      <c r="K9" s="28" cm="1">
        <f t="array" ref="K9">IFERROR(LOOKUP(1,0/(([2]业务报告!$A:$A=$N9)*([2]业务报告!$B:$B=$P$2)),[2]业务报告!AI:AI),0)</f>
        <v>0</v>
      </c>
      <c r="L9" s="28" cm="1">
        <f t="array" ref="L9">IFERROR(LOOKUP(1,0/(([2]业务报告!$A:$A=$N9)*([2]业务报告!$B:$B=$P$2)),[2]业务报告!AJ:AJ),0)</f>
        <v>0</v>
      </c>
      <c r="M9" s="49" t="str">
        <f t="shared" si="0"/>
        <v>周5</v>
      </c>
      <c r="N9" s="50">
        <f>DATE($O$1,$O$2,DAY(N8)+1)</f>
        <v>45905</v>
      </c>
      <c r="O9" s="51">
        <f>SUMIFS([2]业务报告!G:G,[2]业务报告!$A:$A,$N9,[2]业务报告!$B:$B,$P$2)+SUMIFS([2]业务报告!G:G,[2]业务报告!$A:$A,$N9,[2]业务报告!$B:$B,$T$2)</f>
        <v>0</v>
      </c>
      <c r="P9" s="51">
        <f>SUMIFS([2]业务报告!H:H,[2]业务报告!$A:$A,$N9,[2]业务报告!$B:$B,$P$2)+SUMIFS([2]业务报告!H:H,[2]业务报告!$A:$A,$N9,[2]业务报告!$B:$B,$T$2)</f>
        <v>0</v>
      </c>
      <c r="Q9" s="51">
        <f>SUMIFS([2]业务报告!I:I,[2]业务报告!$A:$A,$N9,[2]业务报告!$B:$B,$P$2)+SUMIFS([2]业务报告!I:I,[2]业务报告!$A:$A,$N9,[2]业务报告!$B:$B,$T$2)</f>
        <v>0</v>
      </c>
      <c r="R9" s="51">
        <f>SUMIFS([2]业务报告!T:T,[2]业务报告!$A:$A,$N9,[2]业务报告!$B:$B,$P$2)+SUMIFS([2]业务报告!T:T,[2]业务报告!$A:$A,$N9,[2]业务报告!$B:$B,$T$2)</f>
        <v>0</v>
      </c>
      <c r="S9" s="65">
        <f t="shared" si="1"/>
        <v>0</v>
      </c>
      <c r="T9" s="66">
        <f>SUMIFS([2]业务报告!X:X,[2]业务报告!$A:$A,$N9,[2]业务报告!$B:$B,$P$2)+SUMIFS([2]业务报告!X:X,[2]业务报告!$A:$A,$N9,[2]业务报告!$B:$B,$T$2)</f>
        <v>0</v>
      </c>
      <c r="U9" s="28">
        <f>SUMIFS([2]业务报告!AO:AO,[2]业务报告!$A:$A,$N9,[2]业务报告!$B:$B,$P$2)+SUMIFS([2]业务报告!AP:AP,[2]业务报告!$A:$A,$N9,[2]业务报告!$B:$B,$P$2)</f>
        <v>0</v>
      </c>
      <c r="V9" s="73">
        <f>SUMIFS([2]WT报告!I:I,[2]WT报告!$C:$C,$N9,[2]WT报告!$H:$H,$X$2)</f>
        <v>0</v>
      </c>
      <c r="W9" s="66">
        <f>SUMIFS([2]WT报告!Z:Z,[2]WT报告!$C:$C,$N9,[2]WT报告!$H:$H,$X$2)</f>
        <v>0</v>
      </c>
      <c r="X9" s="73">
        <f>SUMIFS([2]业务报告!AS:AS,[2]业务报告!$A:$A,$N9,[2]业务报告!$B:$B,$P$2)+SUMIFS([2]业务报告!AS:AS,[2]业务报告!$A:$A,$N9,[2]业务报告!$B:$B,$T$2)+V9</f>
        <v>0</v>
      </c>
      <c r="Y9" s="85">
        <f>SUMIFS([2]业务报告!AO:AO,[2]业务报告!$A:$A,$N9,[2]业务报告!$B:$B,$P$2)*SUMIFS([2]业务报告!AM:AM,[2]业务报告!$A:$A,$N9,[2]业务报告!$B:$B,$P$2)/$AC$2+SUMIFS([2]业务报告!AP:AP,[2]业务报告!$A:$A,$N9,[2]业务报告!$B:$B,$P$2)*SUMIFS([2]业务报告!AN:AN,[2]业务报告!$A:$A,$N9,[2]业务报告!$B:$B,$P$2)/$AC$2</f>
        <v>0</v>
      </c>
      <c r="Z9" s="86">
        <f>(I9*(1-$AD$2-4%-10%)-$AD$1-$AC$1/$AC$2)*BB9-BC9</f>
        <v>0</v>
      </c>
      <c r="AA9" s="87">
        <f>(I9*(1-$AD$2-4%-10%)-$AD$1-$AC$1/$AC$2)*(R9-IF(R9&gt;V9,SUMIFS([2]业务报告!AO:AO,[2]业务报告!$A:$A,$N9,[2]业务报告!$B:$B,$P$2),0))-BC9</f>
        <v>0</v>
      </c>
      <c r="AB9" s="88">
        <f t="shared" si="2"/>
        <v>0</v>
      </c>
      <c r="AC9" s="86">
        <f>AR9*(J9-$AC$1/$AC$2-J9*4%)-AS9</f>
        <v>0</v>
      </c>
      <c r="AD9" s="87">
        <f>(V9-IF(R9&lt;V9,SUMIFS([2]业务报告!AO:AO,[2]业务报告!$A:$A,$N9,[2]业务报告!$B:$B,$P$2),0))*(J9-$AC$1/$AC$2-J9*4%)-AS9</f>
        <v>0</v>
      </c>
      <c r="AE9" s="87" cm="1">
        <f t="array" ref="AE9">IFERROR(LOOKUP(1,0/(([2]业务报告!$A:$A=$N9)*([2]业务报告!$B:$B=$P$2)),[2]业务报告!AQ:AQ),0)*$AH$2</f>
        <v>0</v>
      </c>
      <c r="AF9" s="87" cm="1">
        <f t="array" ref="AF9">IFERROR(LOOKUP(1,0/(([2]业务报告!$A:$A=$N9)*([2]业务报告!$B:$B=$P$2)),[2]业务报告!AR:AR),0)*$AG$2</f>
        <v>0</v>
      </c>
      <c r="AG9" s="87">
        <f t="shared" si="3"/>
        <v>0</v>
      </c>
      <c r="AH9" s="88">
        <f t="shared" si="4"/>
        <v>0</v>
      </c>
      <c r="AI9" s="116">
        <f t="shared" si="5"/>
        <v>0</v>
      </c>
      <c r="AJ9" s="117">
        <f t="shared" si="6"/>
        <v>0</v>
      </c>
      <c r="AK9" s="122">
        <f t="shared" si="7"/>
        <v>0</v>
      </c>
      <c r="AL9" s="116">
        <f>SUMIFS([2]WT报告!S:S,[2]WT报告!$C:$C,$N9,[2]WT报告!$H:$H,$X$2)</f>
        <v>0</v>
      </c>
      <c r="AM9" s="123">
        <f t="shared" si="8"/>
        <v>0</v>
      </c>
      <c r="AN9" s="124">
        <f>SUMIFS([2]WT报告!N:N,[2]WT报告!$C:$C,$N9,[2]WT报告!$H:$H,$X$2)</f>
        <v>0</v>
      </c>
      <c r="AO9" s="117">
        <f t="shared" si="9"/>
        <v>0</v>
      </c>
      <c r="AP9" s="87">
        <f>SUMIFS([2]WT报告!P:P,[2]WT报告!$C:$C,$N9,[2]WT报告!$H:$H,$X$2)</f>
        <v>0</v>
      </c>
      <c r="AQ9" s="129">
        <f>SUMIFS([2]WT报告!Q:Q,[2]WT报告!$C:$C,$N9,[2]WT报告!$H:$H,$X$2)</f>
        <v>0</v>
      </c>
      <c r="AR9" s="87">
        <f>SUMIFS([2]WT报告!J:J,[2]WT报告!$C:$C,$N9,[2]WT报告!$H:$H,$X$2)</f>
        <v>0</v>
      </c>
      <c r="AS9" s="133">
        <f>SUMIFS([2]WT报告!M:M,[2]WT报告!$C:$C,$N9,[2]WT报告!$H:$H,$X$2)</f>
        <v>0</v>
      </c>
      <c r="AT9" s="134">
        <f t="shared" si="10"/>
        <v>0</v>
      </c>
      <c r="AU9" s="122">
        <f t="shared" si="11"/>
        <v>0</v>
      </c>
      <c r="AV9" s="133">
        <f t="shared" si="12"/>
        <v>0</v>
      </c>
      <c r="AW9" s="123">
        <f t="shared" si="13"/>
        <v>0</v>
      </c>
      <c r="AX9" s="124">
        <f t="shared" si="14"/>
        <v>0</v>
      </c>
      <c r="AY9" s="117">
        <f t="shared" si="15"/>
        <v>0</v>
      </c>
      <c r="AZ9" s="122">
        <f t="shared" si="16"/>
        <v>0</v>
      </c>
      <c r="BA9" s="142">
        <f t="shared" si="17"/>
        <v>0</v>
      </c>
      <c r="BB9" s="122">
        <f t="shared" si="18"/>
        <v>0</v>
      </c>
      <c r="BC9" s="133">
        <f t="shared" si="19"/>
        <v>0</v>
      </c>
      <c r="BD9" s="123">
        <f t="shared" si="20"/>
        <v>0</v>
      </c>
      <c r="BE9" s="150">
        <f t="shared" si="21"/>
        <v>0</v>
      </c>
      <c r="BF9" s="123">
        <f t="shared" si="22"/>
        <v>0</v>
      </c>
      <c r="BG9" s="122">
        <f t="shared" si="23"/>
        <v>0</v>
      </c>
      <c r="BH9" s="122">
        <f>SUMIFS([2]SP!J:J,[2]SP!A:A,N9,[2]SP!H:H,$P$2)+SUMIFS([2]SP!J:J,[2]SP!A:A,N9,[2]SP!H:H,$T$2)</f>
        <v>0</v>
      </c>
      <c r="BI9" s="122">
        <f>SUMIFS([2]SP!K:K,[2]SP!A:A,N9,[2]SP!H:H,$P$2)+SUMIFS([2]SP!K:K,[2]SP!A:A,N9,[2]SP!H:H,$T$2)</f>
        <v>0</v>
      </c>
      <c r="BJ9" s="154">
        <f t="shared" si="24"/>
        <v>0</v>
      </c>
      <c r="BK9" s="124">
        <f t="shared" si="25"/>
        <v>0</v>
      </c>
      <c r="BL9" s="122">
        <f>SUMIFS([2]SP!R:R,[2]SP!A:A,N9,[2]SP!H:H,$P$2)+SUMIFS([2]SP!R:R,[2]SP!A:A,N9,[2]SP!H:H,$T$2)</f>
        <v>0</v>
      </c>
      <c r="BM9" s="124">
        <f>SUMIFS([2]SP!O:O,[2]SP!A:A,$N9,[2]SP!H:H,$P$2)+SUMIFS([2]SP!O:O,[2]SP!A:A,$N9,[2]SP!H:H,$T$2)</f>
        <v>0</v>
      </c>
      <c r="BN9" s="160">
        <f t="shared" si="26"/>
        <v>0</v>
      </c>
      <c r="BO9" s="122">
        <f>SUMIFS([2]SP!N:N,[2]SP!A:A,N9,[2]SP!H:H,$P$2)+SUMIFS([2]SP!N:N,[2]SP!A:A,N9,[2]SP!H:H,$T$2)</f>
        <v>0</v>
      </c>
      <c r="BP9" s="161">
        <f t="shared" si="27"/>
        <v>0</v>
      </c>
      <c r="BQ9" s="122">
        <f>SUMIFS([2]SD!J:J,[2]SD!A:A,N9,[2]SD!H:H,$P$2)+SUMIFS([2]SD!J:J,[2]SD!A:A,N9,[2]SD!H:H,$T$2)</f>
        <v>0</v>
      </c>
      <c r="BR9" s="122">
        <f>SUMIFS([2]SD!L:L,[2]SD!A:A,N9,[2]SD!H:H,$P$2)+SUMIFS([2]SD!L:L,[2]SD!A:A,N9,[2]SD!H:H,$T$2)</f>
        <v>0</v>
      </c>
      <c r="BS9" s="154">
        <f t="shared" si="28"/>
        <v>0</v>
      </c>
      <c r="BT9" s="124">
        <f t="shared" si="29"/>
        <v>0</v>
      </c>
      <c r="BU9" s="122">
        <f>SUMIFS([2]SD!U:U,[2]SD!A:A,N9,[2]SD!H:H,$P$2)+SUMIFS([2]SD!U:U,[2]SD!A:A,N9,[2]SD!H:H,$T$2)</f>
        <v>0</v>
      </c>
      <c r="BV9" s="124">
        <f>SUMIFS([2]SD!V:V,[2]SD!A:A,N9,[2]SD!H:H,$P$2)+SUMIFS([2]SD!V:V,[2]SD!A:A,N9,[2]SD!H:H,$T$2)</f>
        <v>0</v>
      </c>
      <c r="BW9" s="160">
        <f t="shared" si="30"/>
        <v>0</v>
      </c>
      <c r="BX9" s="124">
        <f>SUMIFS([2]SD!O:O,[2]SD!A:A,N9,[2]SD!H:H,$P$2)+SUMIFS([2]SD!O:O,[2]SD!A:A,N9,[2]SD!H:H,$T$2)</f>
        <v>0</v>
      </c>
      <c r="BY9" s="161">
        <f t="shared" si="31"/>
        <v>0</v>
      </c>
      <c r="BZ9" s="122">
        <f>SUMIFS([2]SB!H:H,[2]SB!B:B,N9,[2]SB!A:A,$P$2)+SUMIFS([2]SB!H:H,[2]SB!B:B,N9,[2]SB!A:A,$T$2)</f>
        <v>0</v>
      </c>
      <c r="CA9" s="122">
        <f>SUMIFS([2]SB!I:I,[2]SB!B:B,N9,[2]SB!A:A,$P$2)+SUMIFS([2]SB!I:I,[2]SB!B:B,N9,[2]SB!A:A,$T$2)</f>
        <v>0</v>
      </c>
      <c r="CB9" s="154">
        <f t="shared" si="32"/>
        <v>0</v>
      </c>
      <c r="CC9" s="124">
        <f t="shared" si="33"/>
        <v>0</v>
      </c>
      <c r="CD9" s="122">
        <f>SUMIFS([2]SB!Q:Q,[2]SB!B:B,N9,[2]SB!A:A,$P$2)+SUMIFS([2]SB!Q:Q,[2]SB!B:B,N9,[2]SB!A:A,$T$2)</f>
        <v>0</v>
      </c>
      <c r="CE9" s="124">
        <f>SUMIFS([2]SB!O:O,[2]SB!B:B,N9,[2]SB!A:A,$P$2)+SUMIFS([2]SB!O:O,[2]SB!B:B,N9,[2]SB!A:A,$T$2)</f>
        <v>0</v>
      </c>
      <c r="CF9" s="160">
        <f t="shared" si="34"/>
        <v>0</v>
      </c>
      <c r="CG9" s="124">
        <f>SUMIFS([2]SB!L:L,[2]SB!B:B,N9,[2]SB!A:A,$P$2)+SUMIFS([2]SB!L:L,[2]SB!B:B,N9,[2]SB!A:A,$T$2)</f>
        <v>0</v>
      </c>
      <c r="CH9" s="161">
        <f t="shared" si="35"/>
        <v>0</v>
      </c>
    </row>
    <row r="10" s="1" customFormat="1" ht="20" hidden="1" customHeight="1" spans="1:86">
      <c r="A10" s="17" cm="1">
        <f t="array" ref="A10">IFERROR(LOOKUP(1,0/(([2]业务报告!$A:$A=$N10)*([2]业务报告!$B:$B=$P$2)),[2]业务报告!AU:AU),"")</f>
        <v>0</v>
      </c>
      <c r="B10" s="17" t="str" cm="1">
        <f t="array" ref="B10">IFERROR(LOOKUP(1,0/(([2]业务报告!$A:$A=$N10)*([2]业务报告!$B:$B=$P$2)),[2]业务报告!AV:AV),"")</f>
        <v>6.长尾词词组 cpc提高到2.35 曝光点击没达到预期，今晚继续提高cpc到2.45</v>
      </c>
      <c r="C10" s="20">
        <f>SUMIFS([2]业务报告!AC:AC,[2]业务报告!$A:$A,$N10,[2]业务报告!$B:$B,$P$2)</f>
        <v>0</v>
      </c>
      <c r="D10" s="21">
        <f>SUMIFS([2]业务报告!AD:AD,[2]业务报告!$A:$A,$N10,[2]业务报告!$B:$B,$P$2)</f>
        <v>0</v>
      </c>
      <c r="E10" s="20" cm="1">
        <f t="array" ref="E10">_xlfn.XLOOKUP($N10&amp;$P$2,[2]业务报告!$A:$A&amp;[2]业务报告!$B:$B,[2]业务报告!AE:AE,"")</f>
        <v>0</v>
      </c>
      <c r="F10" s="28" t="str" cm="1">
        <f t="array" ref="F10">IFERROR(LOOKUP(1,0/(([2]业务报告!$A:$A=$N10)*([2]业务报告!$B:$B=$P$2)),[2]业务报告!AK:AK),0)</f>
        <v>WBD</v>
      </c>
      <c r="G10" s="29">
        <f>SUMIFS([2]业务报告!AF:AF,[2]业务报告!$A:$A,$N10,[2]业务报告!$B:$B,$P$2)</f>
        <v>319.89</v>
      </c>
      <c r="H10" s="30" t="str" cm="1">
        <f t="array" ref="H10">IFERROR(LOOKUP(1,0/(([2]业务报告!$A:$A=$N10)*([2]业务报告!B:B=$P$2)),[2]业务报告!AG:AG),0)</f>
        <v>/</v>
      </c>
      <c r="I10" s="30" cm="1">
        <f t="array" ref="I10">IFERROR(LOOKUP(1,0/(([2]业务报告!$A:$A=$N10)*([2]业务报告!$B:$B=$P$2)),[2]业务报告!AH:AH),0)</f>
        <v>79.99</v>
      </c>
      <c r="J10" s="30">
        <f>SUMIFS([2]WT报告!A:A,[2]WT报告!$C:$C,$N10,[2]WT报告!$H:$H,$X$2)</f>
        <v>0</v>
      </c>
      <c r="K10" s="28" cm="1">
        <f t="array" ref="K10">IFERROR(LOOKUP(1,0/(([2]业务报告!$A:$A=$N10)*([2]业务报告!$B:$B=$P$2)),[2]业务报告!AI:AI),0)</f>
        <v>0</v>
      </c>
      <c r="L10" s="28" cm="1">
        <f t="array" ref="L10">IFERROR(LOOKUP(1,0/(([2]业务报告!$A:$A=$N10)*([2]业务报告!$B:$B=$P$2)),[2]业务报告!AJ:AJ),0)</f>
        <v>0</v>
      </c>
      <c r="M10" s="49" t="str">
        <f t="shared" si="0"/>
        <v>周6</v>
      </c>
      <c r="N10" s="50">
        <f>DATE($O$1,$O$2,DAY(N9)+1)</f>
        <v>45906</v>
      </c>
      <c r="O10" s="51">
        <f>SUMIFS([2]业务报告!G:G,[2]业务报告!$A:$A,$N10,[2]业务报告!$B:$B,$P$2)+SUMIFS([2]业务报告!G:G,[2]业务报告!$A:$A,$N10,[2]业务报告!$B:$B,$T$2)</f>
        <v>0</v>
      </c>
      <c r="P10" s="51">
        <f>SUMIFS([2]业务报告!H:H,[2]业务报告!$A:$A,$N10,[2]业务报告!$B:$B,$P$2)+SUMIFS([2]业务报告!H:H,[2]业务报告!$A:$A,$N10,[2]业务报告!$B:$B,$T$2)</f>
        <v>0</v>
      </c>
      <c r="Q10" s="51">
        <f>SUMIFS([2]业务报告!I:I,[2]业务报告!$A:$A,$N10,[2]业务报告!$B:$B,$P$2)+SUMIFS([2]业务报告!I:I,[2]业务报告!$A:$A,$N10,[2]业务报告!$B:$B,$T$2)</f>
        <v>0</v>
      </c>
      <c r="R10" s="51">
        <f>SUMIFS([2]业务报告!T:T,[2]业务报告!$A:$A,$N10,[2]业务报告!$B:$B,$P$2)+SUMIFS([2]业务报告!T:T,[2]业务报告!$A:$A,$N10,[2]业务报告!$B:$B,$T$2)</f>
        <v>0</v>
      </c>
      <c r="S10" s="65">
        <f t="shared" si="1"/>
        <v>0</v>
      </c>
      <c r="T10" s="66">
        <f>SUMIFS([2]业务报告!X:X,[2]业务报告!$A:$A,$N10,[2]业务报告!$B:$B,$P$2)+SUMIFS([2]业务报告!X:X,[2]业务报告!$A:$A,$N10,[2]业务报告!$B:$B,$T$2)</f>
        <v>0</v>
      </c>
      <c r="U10" s="28">
        <f>SUMIFS([2]业务报告!AO:AO,[2]业务报告!$A:$A,$N10,[2]业务报告!$B:$B,$P$2)+SUMIFS([2]业务报告!AP:AP,[2]业务报告!$A:$A,$N10,[2]业务报告!$B:$B,$P$2)</f>
        <v>0</v>
      </c>
      <c r="V10" s="73">
        <f>SUMIFS([2]WT报告!I:I,[2]WT报告!$C:$C,$N10,[2]WT报告!$H:$H,$X$2)</f>
        <v>0</v>
      </c>
      <c r="W10" s="66">
        <f>SUMIFS([2]WT报告!Z:Z,[2]WT报告!$C:$C,$N10,[2]WT报告!$H:$H,$X$2)</f>
        <v>0</v>
      </c>
      <c r="X10" s="73">
        <f>SUMIFS([2]业务报告!AS:AS,[2]业务报告!$A:$A,$N10,[2]业务报告!$B:$B,$P$2)+SUMIFS([2]业务报告!AS:AS,[2]业务报告!$A:$A,$N10,[2]业务报告!$B:$B,$T$2)+V10</f>
        <v>0</v>
      </c>
      <c r="Y10" s="85">
        <f>SUMIFS([2]业务报告!AO:AO,[2]业务报告!$A:$A,$N10,[2]业务报告!$B:$B,$P$2)*SUMIFS([2]业务报告!AM:AM,[2]业务报告!$A:$A,$N10,[2]业务报告!$B:$B,$P$2)/$AC$2+SUMIFS([2]业务报告!AP:AP,[2]业务报告!$A:$A,$N10,[2]业务报告!$B:$B,$P$2)*SUMIFS([2]业务报告!AN:AN,[2]业务报告!$A:$A,$N10,[2]业务报告!$B:$B,$P$2)/$AC$2</f>
        <v>0</v>
      </c>
      <c r="Z10" s="86">
        <f>(I10*(1-$AD$2-4%-10%)-$AD$1-$AC$1/$AC$2)*BB10-BC10</f>
        <v>0</v>
      </c>
      <c r="AA10" s="87">
        <f>(I10*(1-$AD$2-4%-10%)-$AD$1-$AC$1/$AC$2)*(R10-IF(R10&gt;V10,SUMIFS([2]业务报告!AO:AO,[2]业务报告!$A:$A,$N10,[2]业务报告!$B:$B,$P$2),0))-BC10</f>
        <v>0</v>
      </c>
      <c r="AB10" s="88">
        <f t="shared" si="2"/>
        <v>0</v>
      </c>
      <c r="AC10" s="86">
        <f>AR10*(J10-$AC$1/$AC$2-J10*4%)-AS10</f>
        <v>0</v>
      </c>
      <c r="AD10" s="87">
        <f>(V10-IF(R10&lt;V10,SUMIFS([2]业务报告!AO:AO,[2]业务报告!$A:$A,$N10,[2]业务报告!$B:$B,$P$2),0))*(J10-$AC$1/$AC$2-J10*4%)-AS10</f>
        <v>0</v>
      </c>
      <c r="AE10" s="87" cm="1">
        <f t="array" ref="AE10">IFERROR(LOOKUP(1,0/(([2]业务报告!$A:$A=$N10)*([2]业务报告!$B:$B=$P$2)),[2]业务报告!AQ:AQ),0)*$AH$2</f>
        <v>0</v>
      </c>
      <c r="AF10" s="87" cm="1">
        <f t="array" ref="AF10">IFERROR(LOOKUP(1,0/(([2]业务报告!$A:$A=$N10)*([2]业务报告!$B:$B=$P$2)),[2]业务报告!AR:AR),0)*$AG$2</f>
        <v>0</v>
      </c>
      <c r="AG10" s="87">
        <f t="shared" si="3"/>
        <v>0</v>
      </c>
      <c r="AH10" s="88">
        <f t="shared" si="4"/>
        <v>0</v>
      </c>
      <c r="AI10" s="116">
        <f t="shared" si="5"/>
        <v>0</v>
      </c>
      <c r="AJ10" s="117">
        <f t="shared" si="6"/>
        <v>0</v>
      </c>
      <c r="AK10" s="122">
        <f t="shared" si="7"/>
        <v>0</v>
      </c>
      <c r="AL10" s="116">
        <f>SUMIFS([2]WT报告!S:S,[2]WT报告!$C:$C,$N10,[2]WT报告!$H:$H,$X$2)</f>
        <v>0</v>
      </c>
      <c r="AM10" s="123">
        <f t="shared" si="8"/>
        <v>0</v>
      </c>
      <c r="AN10" s="124">
        <f>SUMIFS([2]WT报告!N:N,[2]WT报告!$C:$C,$N10,[2]WT报告!$H:$H,$X$2)</f>
        <v>0</v>
      </c>
      <c r="AO10" s="117">
        <f t="shared" si="9"/>
        <v>0</v>
      </c>
      <c r="AP10" s="87">
        <f>SUMIFS([2]WT报告!P:P,[2]WT报告!$C:$C,$N10,[2]WT报告!$H:$H,$X$2)</f>
        <v>0</v>
      </c>
      <c r="AQ10" s="129">
        <f>SUMIFS([2]WT报告!Q:Q,[2]WT报告!$C:$C,$N10,[2]WT报告!$H:$H,$X$2)</f>
        <v>0</v>
      </c>
      <c r="AR10" s="87">
        <f>SUMIFS([2]WT报告!J:J,[2]WT报告!$C:$C,$N10,[2]WT报告!$H:$H,$X$2)</f>
        <v>0</v>
      </c>
      <c r="AS10" s="133">
        <f>SUMIFS([2]WT报告!M:M,[2]WT报告!$C:$C,$N10,[2]WT报告!$H:$H,$X$2)</f>
        <v>0</v>
      </c>
      <c r="AT10" s="134">
        <f t="shared" si="10"/>
        <v>0</v>
      </c>
      <c r="AU10" s="122">
        <f t="shared" si="11"/>
        <v>0</v>
      </c>
      <c r="AV10" s="133">
        <f t="shared" si="12"/>
        <v>0</v>
      </c>
      <c r="AW10" s="123">
        <f t="shared" si="13"/>
        <v>0</v>
      </c>
      <c r="AX10" s="124">
        <f t="shared" si="14"/>
        <v>0</v>
      </c>
      <c r="AY10" s="117">
        <f t="shared" si="15"/>
        <v>0</v>
      </c>
      <c r="AZ10" s="122">
        <f t="shared" si="16"/>
        <v>0</v>
      </c>
      <c r="BA10" s="142">
        <f t="shared" si="17"/>
        <v>0</v>
      </c>
      <c r="BB10" s="122">
        <f t="shared" si="18"/>
        <v>0</v>
      </c>
      <c r="BC10" s="133">
        <f t="shared" si="19"/>
        <v>0</v>
      </c>
      <c r="BD10" s="123">
        <f t="shared" si="20"/>
        <v>0</v>
      </c>
      <c r="BE10" s="150">
        <f t="shared" si="21"/>
        <v>0</v>
      </c>
      <c r="BF10" s="123">
        <f t="shared" si="22"/>
        <v>0</v>
      </c>
      <c r="BG10" s="122">
        <f t="shared" si="23"/>
        <v>0</v>
      </c>
      <c r="BH10" s="122">
        <f>SUMIFS([2]SP!J:J,[2]SP!A:A,N10,[2]SP!H:H,$P$2)+SUMIFS([2]SP!J:J,[2]SP!A:A,N10,[2]SP!H:H,$T$2)</f>
        <v>0</v>
      </c>
      <c r="BI10" s="122">
        <f>SUMIFS([2]SP!K:K,[2]SP!A:A,N10,[2]SP!H:H,$P$2)+SUMIFS([2]SP!K:K,[2]SP!A:A,N10,[2]SP!H:H,$T$2)</f>
        <v>0</v>
      </c>
      <c r="BJ10" s="154">
        <f t="shared" si="24"/>
        <v>0</v>
      </c>
      <c r="BK10" s="124">
        <f t="shared" si="25"/>
        <v>0</v>
      </c>
      <c r="BL10" s="122">
        <f>SUMIFS([2]SP!R:R,[2]SP!A:A,N10,[2]SP!H:H,$P$2)+SUMIFS([2]SP!R:R,[2]SP!A:A,N10,[2]SP!H:H,$T$2)</f>
        <v>0</v>
      </c>
      <c r="BM10" s="124">
        <f>SUMIFS([2]SP!O:O,[2]SP!A:A,$N10,[2]SP!H:H,$P$2)+SUMIFS([2]SP!O:O,[2]SP!A:A,$N10,[2]SP!H:H,$T$2)</f>
        <v>0</v>
      </c>
      <c r="BN10" s="160">
        <f t="shared" si="26"/>
        <v>0</v>
      </c>
      <c r="BO10" s="122">
        <f>SUMIFS([2]SP!N:N,[2]SP!A:A,N10,[2]SP!H:H,$P$2)+SUMIFS([2]SP!N:N,[2]SP!A:A,N10,[2]SP!H:H,$T$2)</f>
        <v>0</v>
      </c>
      <c r="BP10" s="161">
        <f t="shared" si="27"/>
        <v>0</v>
      </c>
      <c r="BQ10" s="122">
        <f>SUMIFS([2]SD!J:J,[2]SD!A:A,N10,[2]SD!H:H,$P$2)+SUMIFS([2]SD!J:J,[2]SD!A:A,N10,[2]SD!H:H,$T$2)</f>
        <v>0</v>
      </c>
      <c r="BR10" s="122">
        <f>SUMIFS([2]SD!L:L,[2]SD!A:A,N10,[2]SD!H:H,$P$2)+SUMIFS([2]SD!L:L,[2]SD!A:A,N10,[2]SD!H:H,$T$2)</f>
        <v>0</v>
      </c>
      <c r="BS10" s="154">
        <f t="shared" si="28"/>
        <v>0</v>
      </c>
      <c r="BT10" s="124">
        <f t="shared" si="29"/>
        <v>0</v>
      </c>
      <c r="BU10" s="122">
        <f>SUMIFS([2]SD!U:U,[2]SD!A:A,N10,[2]SD!H:H,$P$2)+SUMIFS([2]SD!U:U,[2]SD!A:A,N10,[2]SD!H:H,$T$2)</f>
        <v>0</v>
      </c>
      <c r="BV10" s="124">
        <f>SUMIFS([2]SD!V:V,[2]SD!A:A,N10,[2]SD!H:H,$P$2)+SUMIFS([2]SD!V:V,[2]SD!A:A,N10,[2]SD!H:H,$T$2)</f>
        <v>0</v>
      </c>
      <c r="BW10" s="160">
        <f t="shared" si="30"/>
        <v>0</v>
      </c>
      <c r="BX10" s="124">
        <f>SUMIFS([2]SD!O:O,[2]SD!A:A,N10,[2]SD!H:H,$P$2)+SUMIFS([2]SD!O:O,[2]SD!A:A,N10,[2]SD!H:H,$T$2)</f>
        <v>0</v>
      </c>
      <c r="BY10" s="161">
        <f t="shared" si="31"/>
        <v>0</v>
      </c>
      <c r="BZ10" s="122">
        <f>SUMIFS([2]SB!H:H,[2]SB!B:B,N10,[2]SB!A:A,$P$2)+SUMIFS([2]SB!H:H,[2]SB!B:B,N10,[2]SB!A:A,$T$2)</f>
        <v>0</v>
      </c>
      <c r="CA10" s="122">
        <f>SUMIFS([2]SB!I:I,[2]SB!B:B,N10,[2]SB!A:A,$P$2)+SUMIFS([2]SB!I:I,[2]SB!B:B,N10,[2]SB!A:A,$T$2)</f>
        <v>0</v>
      </c>
      <c r="CB10" s="154">
        <f t="shared" si="32"/>
        <v>0</v>
      </c>
      <c r="CC10" s="124">
        <f t="shared" si="33"/>
        <v>0</v>
      </c>
      <c r="CD10" s="122">
        <f>SUMIFS([2]SB!Q:Q,[2]SB!B:B,N10,[2]SB!A:A,$P$2)+SUMIFS([2]SB!Q:Q,[2]SB!B:B,N10,[2]SB!A:A,$T$2)</f>
        <v>0</v>
      </c>
      <c r="CE10" s="124">
        <f>SUMIFS([2]SB!O:O,[2]SB!B:B,N10,[2]SB!A:A,$P$2)+SUMIFS([2]SB!O:O,[2]SB!B:B,N10,[2]SB!A:A,$T$2)</f>
        <v>0</v>
      </c>
      <c r="CF10" s="160">
        <f t="shared" si="34"/>
        <v>0</v>
      </c>
      <c r="CG10" s="124">
        <f>SUMIFS([2]SB!L:L,[2]SB!B:B,N10,[2]SB!A:A,$P$2)+SUMIFS([2]SB!L:L,[2]SB!B:B,N10,[2]SB!A:A,$T$2)</f>
        <v>0</v>
      </c>
      <c r="CH10" s="161">
        <f t="shared" si="35"/>
        <v>0</v>
      </c>
    </row>
    <row r="11" s="1" customFormat="1" hidden="1" spans="1:86">
      <c r="A11" s="17" cm="1">
        <f t="array" ref="A11">IFERROR(LOOKUP(1,0/(([2]业务报告!$A:$A=$N11)*([2]业务报告!$B:$B=$P$2)),[2]业务报告!AU:AU),"")</f>
        <v>0</v>
      </c>
      <c r="B11" s="17" cm="1">
        <f t="array" ref="B11">IFERROR(LOOKUP(1,0/(([2]业务报告!$A:$A=$N11)*([2]业务报告!$B:$B=$P$2)),[2]业务报告!AV:AV),"")</f>
        <v>0</v>
      </c>
      <c r="C11" s="20">
        <f>SUMIFS([2]业务报告!AC:AC,[2]业务报告!$A:$A,$N11,[2]业务报告!$B:$B,$P$2)</f>
        <v>0</v>
      </c>
      <c r="D11" s="21">
        <f>SUMIFS([2]业务报告!AD:AD,[2]业务报告!$A:$A,$N11,[2]业务报告!$B:$B,$P$2)</f>
        <v>0</v>
      </c>
      <c r="E11" s="20" cm="1">
        <f t="array" ref="E11">_xlfn.XLOOKUP($N11&amp;$P$2,[2]业务报告!$A:$A&amp;[2]业务报告!$B:$B,[2]业务报告!AE:AE,"")</f>
        <v>0</v>
      </c>
      <c r="F11" s="28" t="str" cm="1">
        <f t="array" ref="F11">IFERROR(LOOKUP(1,0/(([2]业务报告!$A:$A=$N11)*([2]业务报告!$B:$B=$P$2)),[2]业务报告!AK:AK),0)</f>
        <v>WBD</v>
      </c>
      <c r="G11" s="29">
        <f>SUMIFS([2]业务报告!AF:AF,[2]业务报告!$A:$A,$N11,[2]业务报告!$B:$B,$P$2)</f>
        <v>319.89</v>
      </c>
      <c r="H11" s="30" t="str" cm="1">
        <f t="array" ref="H11">IFERROR(LOOKUP(1,0/(([2]业务报告!$A:$A=$N11)*([2]业务报告!B:B=$P$2)),[2]业务报告!AG:AG),0)</f>
        <v>/</v>
      </c>
      <c r="I11" s="30" cm="1">
        <f t="array" ref="I11">IFERROR(LOOKUP(1,0/(([2]业务报告!$A:$A=$N11)*([2]业务报告!$B:$B=$P$2)),[2]业务报告!AH:AH),0)</f>
        <v>79.99</v>
      </c>
      <c r="J11" s="30">
        <f>SUMIFS([2]WT报告!A:A,[2]WT报告!$C:$C,$N11,[2]WT报告!$H:$H,$X$2)</f>
        <v>0</v>
      </c>
      <c r="K11" s="28" cm="1">
        <f t="array" ref="K11">IFERROR(LOOKUP(1,0/(([2]业务报告!$A:$A=$N11)*([2]业务报告!$B:$B=$P$2)),[2]业务报告!AI:AI),0)</f>
        <v>0</v>
      </c>
      <c r="L11" s="28" cm="1">
        <f t="array" ref="L11">IFERROR(LOOKUP(1,0/(([2]业务报告!$A:$A=$N11)*([2]业务报告!$B:$B=$P$2)),[2]业务报告!AJ:AJ),0)</f>
        <v>0</v>
      </c>
      <c r="M11" s="49" t="str">
        <f t="shared" si="0"/>
        <v>周7</v>
      </c>
      <c r="N11" s="50">
        <f>DATE($O$1,$O$2,DAY(N10)+1)</f>
        <v>45907</v>
      </c>
      <c r="O11" s="51">
        <f>SUMIFS([2]业务报告!G:G,[2]业务报告!$A:$A,$N11,[2]业务报告!$B:$B,$P$2)+SUMIFS([2]业务报告!G:G,[2]业务报告!$A:$A,$N11,[2]业务报告!$B:$B,$T$2)</f>
        <v>0</v>
      </c>
      <c r="P11" s="51">
        <f>SUMIFS([2]业务报告!H:H,[2]业务报告!$A:$A,$N11,[2]业务报告!$B:$B,$P$2)+SUMIFS([2]业务报告!H:H,[2]业务报告!$A:$A,$N11,[2]业务报告!$B:$B,$T$2)</f>
        <v>0</v>
      </c>
      <c r="Q11" s="51">
        <f>SUMIFS([2]业务报告!I:I,[2]业务报告!$A:$A,$N11,[2]业务报告!$B:$B,$P$2)+SUMIFS([2]业务报告!I:I,[2]业务报告!$A:$A,$N11,[2]业务报告!$B:$B,$T$2)</f>
        <v>0</v>
      </c>
      <c r="R11" s="51">
        <f>SUMIFS([2]业务报告!T:T,[2]业务报告!$A:$A,$N11,[2]业务报告!$B:$B,$P$2)+SUMIFS([2]业务报告!T:T,[2]业务报告!$A:$A,$N11,[2]业务报告!$B:$B,$T$2)</f>
        <v>0</v>
      </c>
      <c r="S11" s="65">
        <f t="shared" si="1"/>
        <v>0</v>
      </c>
      <c r="T11" s="66">
        <f>SUMIFS([2]业务报告!X:X,[2]业务报告!$A:$A,$N11,[2]业务报告!$B:$B,$P$2)+SUMIFS([2]业务报告!X:X,[2]业务报告!$A:$A,$N11,[2]业务报告!$B:$B,$T$2)</f>
        <v>0</v>
      </c>
      <c r="U11" s="28">
        <f>SUMIFS([2]业务报告!AO:AO,[2]业务报告!$A:$A,$N11,[2]业务报告!$B:$B,$P$2)+SUMIFS([2]业务报告!AP:AP,[2]业务报告!$A:$A,$N11,[2]业务报告!$B:$B,$P$2)</f>
        <v>0</v>
      </c>
      <c r="V11" s="73">
        <f>SUMIFS([2]WT报告!I:I,[2]WT报告!$C:$C,$N11,[2]WT报告!$H:$H,$X$2)</f>
        <v>0</v>
      </c>
      <c r="W11" s="66">
        <f>SUMIFS([2]WT报告!Z:Z,[2]WT报告!$C:$C,$N11,[2]WT报告!$H:$H,$X$2)</f>
        <v>0</v>
      </c>
      <c r="X11" s="73">
        <f>SUMIFS([2]业务报告!AS:AS,[2]业务报告!$A:$A,$N11,[2]业务报告!$B:$B,$P$2)+SUMIFS([2]业务报告!AS:AS,[2]业务报告!$A:$A,$N11,[2]业务报告!$B:$B,$T$2)+V11</f>
        <v>0</v>
      </c>
      <c r="Y11" s="85">
        <f>SUMIFS([2]业务报告!AO:AO,[2]业务报告!$A:$A,$N11,[2]业务报告!$B:$B,$P$2)*SUMIFS([2]业务报告!AM:AM,[2]业务报告!$A:$A,$N11,[2]业务报告!$B:$B,$P$2)/$AC$2+SUMIFS([2]业务报告!AP:AP,[2]业务报告!$A:$A,$N11,[2]业务报告!$B:$B,$P$2)*SUMIFS([2]业务报告!AN:AN,[2]业务报告!$A:$A,$N11,[2]业务报告!$B:$B,$P$2)/$AC$2</f>
        <v>0</v>
      </c>
      <c r="Z11" s="86">
        <f>(I11*(1-$AD$2-4%-10%)-$AD$1-$AC$1/$AC$2)*BB11-BC11</f>
        <v>0</v>
      </c>
      <c r="AA11" s="87">
        <f>(I11*(1-$AD$2-4%-10%)-$AD$1-$AC$1/$AC$2)*(R11-IF(R11&gt;V11,SUMIFS([2]业务报告!AO:AO,[2]业务报告!$A:$A,$N11,[2]业务报告!$B:$B,$P$2),0))-BC11</f>
        <v>0</v>
      </c>
      <c r="AB11" s="88">
        <f t="shared" si="2"/>
        <v>0</v>
      </c>
      <c r="AC11" s="86">
        <f>AR11*(J11-$AC$1/$AC$2-J11*4%)-AS11</f>
        <v>0</v>
      </c>
      <c r="AD11" s="87">
        <f>(V11-IF(R11&lt;V11,SUMIFS([2]业务报告!AO:AO,[2]业务报告!$A:$A,$N11,[2]业务报告!$B:$B,$P$2),0))*(J11-$AC$1/$AC$2-J11*4%)-AS11</f>
        <v>0</v>
      </c>
      <c r="AE11" s="87" cm="1">
        <f t="array" ref="AE11">IFERROR(LOOKUP(1,0/(([2]业务报告!$A:$A=$N11)*([2]业务报告!$B:$B=$P$2)),[2]业务报告!AQ:AQ),0)*$AH$2</f>
        <v>0</v>
      </c>
      <c r="AF11" s="87" cm="1">
        <f t="array" ref="AF11">IFERROR(LOOKUP(1,0/(([2]业务报告!$A:$A=$N11)*([2]业务报告!$B:$B=$P$2)),[2]业务报告!AR:AR),0)*$AG$2</f>
        <v>0</v>
      </c>
      <c r="AG11" s="87">
        <f t="shared" si="3"/>
        <v>0</v>
      </c>
      <c r="AH11" s="88">
        <f t="shared" si="4"/>
        <v>0</v>
      </c>
      <c r="AI11" s="116">
        <f t="shared" si="5"/>
        <v>0</v>
      </c>
      <c r="AJ11" s="117">
        <f t="shared" si="6"/>
        <v>0</v>
      </c>
      <c r="AK11" s="122">
        <f t="shared" si="7"/>
        <v>0</v>
      </c>
      <c r="AL11" s="116">
        <f>SUMIFS([2]WT报告!S:S,[2]WT报告!$C:$C,$N11,[2]WT报告!$H:$H,$X$2)</f>
        <v>0</v>
      </c>
      <c r="AM11" s="123">
        <f t="shared" si="8"/>
        <v>0</v>
      </c>
      <c r="AN11" s="124">
        <f>SUMIFS([2]WT报告!N:N,[2]WT报告!$C:$C,$N11,[2]WT报告!$H:$H,$X$2)</f>
        <v>0</v>
      </c>
      <c r="AO11" s="117">
        <f t="shared" si="9"/>
        <v>0</v>
      </c>
      <c r="AP11" s="87">
        <f>SUMIFS([2]WT报告!P:P,[2]WT报告!$C:$C,$N11,[2]WT报告!$H:$H,$X$2)</f>
        <v>0</v>
      </c>
      <c r="AQ11" s="129">
        <f>SUMIFS([2]WT报告!Q:Q,[2]WT报告!$C:$C,$N11,[2]WT报告!$H:$H,$X$2)</f>
        <v>0</v>
      </c>
      <c r="AR11" s="87">
        <f>SUMIFS([2]WT报告!J:J,[2]WT报告!$C:$C,$N11,[2]WT报告!$H:$H,$X$2)</f>
        <v>0</v>
      </c>
      <c r="AS11" s="133">
        <f>SUMIFS([2]WT报告!M:M,[2]WT报告!$C:$C,$N11,[2]WT报告!$H:$H,$X$2)</f>
        <v>0</v>
      </c>
      <c r="AT11" s="134">
        <f t="shared" si="10"/>
        <v>0</v>
      </c>
      <c r="AU11" s="122">
        <f t="shared" si="11"/>
        <v>0</v>
      </c>
      <c r="AV11" s="133">
        <f t="shared" si="12"/>
        <v>0</v>
      </c>
      <c r="AW11" s="123">
        <f t="shared" si="13"/>
        <v>0</v>
      </c>
      <c r="AX11" s="124">
        <f t="shared" si="14"/>
        <v>0</v>
      </c>
      <c r="AY11" s="117">
        <f t="shared" si="15"/>
        <v>0</v>
      </c>
      <c r="AZ11" s="122">
        <f t="shared" si="16"/>
        <v>0</v>
      </c>
      <c r="BA11" s="142">
        <f t="shared" si="17"/>
        <v>0</v>
      </c>
      <c r="BB11" s="122">
        <f t="shared" si="18"/>
        <v>0</v>
      </c>
      <c r="BC11" s="133">
        <f t="shared" si="19"/>
        <v>0</v>
      </c>
      <c r="BD11" s="123">
        <f t="shared" si="20"/>
        <v>0</v>
      </c>
      <c r="BE11" s="150">
        <f t="shared" si="21"/>
        <v>0</v>
      </c>
      <c r="BF11" s="123">
        <f t="shared" si="22"/>
        <v>0</v>
      </c>
      <c r="BG11" s="122">
        <f t="shared" si="23"/>
        <v>0</v>
      </c>
      <c r="BH11" s="122">
        <f>SUMIFS([2]SP!J:J,[2]SP!A:A,N11,[2]SP!H:H,$P$2)+SUMIFS([2]SP!J:J,[2]SP!A:A,N11,[2]SP!H:H,$T$2)</f>
        <v>0</v>
      </c>
      <c r="BI11" s="122">
        <f>SUMIFS([2]SP!K:K,[2]SP!A:A,N11,[2]SP!H:H,$P$2)+SUMIFS([2]SP!K:K,[2]SP!A:A,N11,[2]SP!H:H,$T$2)</f>
        <v>0</v>
      </c>
      <c r="BJ11" s="154">
        <f t="shared" si="24"/>
        <v>0</v>
      </c>
      <c r="BK11" s="124">
        <f t="shared" si="25"/>
        <v>0</v>
      </c>
      <c r="BL11" s="122">
        <f>SUMIFS([2]SP!R:R,[2]SP!A:A,N11,[2]SP!H:H,$P$2)+SUMIFS([2]SP!R:R,[2]SP!A:A,N11,[2]SP!H:H,$T$2)</f>
        <v>0</v>
      </c>
      <c r="BM11" s="124">
        <f>SUMIFS([2]SP!O:O,[2]SP!A:A,$N11,[2]SP!H:H,$P$2)+SUMIFS([2]SP!O:O,[2]SP!A:A,$N11,[2]SP!H:H,$T$2)</f>
        <v>0</v>
      </c>
      <c r="BN11" s="160">
        <f t="shared" si="26"/>
        <v>0</v>
      </c>
      <c r="BO11" s="122">
        <f>SUMIFS([2]SP!N:N,[2]SP!A:A,N11,[2]SP!H:H,$P$2)+SUMIFS([2]SP!N:N,[2]SP!A:A,N11,[2]SP!H:H,$T$2)</f>
        <v>0</v>
      </c>
      <c r="BP11" s="161">
        <f t="shared" si="27"/>
        <v>0</v>
      </c>
      <c r="BQ11" s="122">
        <f>SUMIFS([2]SD!J:J,[2]SD!A:A,N11,[2]SD!H:H,$P$2)+SUMIFS([2]SD!J:J,[2]SD!A:A,N11,[2]SD!H:H,$T$2)</f>
        <v>0</v>
      </c>
      <c r="BR11" s="122">
        <f>SUMIFS([2]SD!L:L,[2]SD!A:A,N11,[2]SD!H:H,$P$2)+SUMIFS([2]SD!L:L,[2]SD!A:A,N11,[2]SD!H:H,$T$2)</f>
        <v>0</v>
      </c>
      <c r="BS11" s="154">
        <f t="shared" si="28"/>
        <v>0</v>
      </c>
      <c r="BT11" s="124">
        <f t="shared" si="29"/>
        <v>0</v>
      </c>
      <c r="BU11" s="122">
        <f>SUMIFS([2]SD!U:U,[2]SD!A:A,N11,[2]SD!H:H,$P$2)+SUMIFS([2]SD!U:U,[2]SD!A:A,N11,[2]SD!H:H,$T$2)</f>
        <v>0</v>
      </c>
      <c r="BV11" s="124">
        <f>SUMIFS([2]SD!V:V,[2]SD!A:A,N11,[2]SD!H:H,$P$2)+SUMIFS([2]SD!V:V,[2]SD!A:A,N11,[2]SD!H:H,$T$2)</f>
        <v>0</v>
      </c>
      <c r="BW11" s="160">
        <f t="shared" si="30"/>
        <v>0</v>
      </c>
      <c r="BX11" s="124">
        <f>SUMIFS([2]SD!O:O,[2]SD!A:A,N11,[2]SD!H:H,$P$2)+SUMIFS([2]SD!O:O,[2]SD!A:A,N11,[2]SD!H:H,$T$2)</f>
        <v>0</v>
      </c>
      <c r="BY11" s="161">
        <f t="shared" si="31"/>
        <v>0</v>
      </c>
      <c r="BZ11" s="122">
        <f>SUMIFS([2]SB!H:H,[2]SB!B:B,N11,[2]SB!A:A,$P$2)+SUMIFS([2]SB!H:H,[2]SB!B:B,N11,[2]SB!A:A,$T$2)</f>
        <v>0</v>
      </c>
      <c r="CA11" s="122">
        <f>SUMIFS([2]SB!I:I,[2]SB!B:B,N11,[2]SB!A:A,$P$2)+SUMIFS([2]SB!I:I,[2]SB!B:B,N11,[2]SB!A:A,$T$2)</f>
        <v>0</v>
      </c>
      <c r="CB11" s="154">
        <f t="shared" si="32"/>
        <v>0</v>
      </c>
      <c r="CC11" s="124">
        <f t="shared" si="33"/>
        <v>0</v>
      </c>
      <c r="CD11" s="122">
        <f>SUMIFS([2]SB!Q:Q,[2]SB!B:B,N11,[2]SB!A:A,$P$2)+SUMIFS([2]SB!Q:Q,[2]SB!B:B,N11,[2]SB!A:A,$T$2)</f>
        <v>0</v>
      </c>
      <c r="CE11" s="124">
        <f>SUMIFS([2]SB!O:O,[2]SB!B:B,N11,[2]SB!A:A,$P$2)+SUMIFS([2]SB!O:O,[2]SB!B:B,N11,[2]SB!A:A,$T$2)</f>
        <v>0</v>
      </c>
      <c r="CF11" s="160">
        <f t="shared" si="34"/>
        <v>0</v>
      </c>
      <c r="CG11" s="124">
        <f>SUMIFS([2]SB!L:L,[2]SB!B:B,N11,[2]SB!A:A,$P$2)+SUMIFS([2]SB!L:L,[2]SB!B:B,N11,[2]SB!A:A,$T$2)</f>
        <v>0</v>
      </c>
      <c r="CH11" s="161">
        <f t="shared" si="35"/>
        <v>0</v>
      </c>
    </row>
    <row r="12" s="1" customFormat="1" hidden="1" spans="1:86">
      <c r="A12" s="17" cm="1">
        <f t="array" ref="A12">IFERROR(LOOKUP(1,0/(([2]业务报告!$A:$A=$N12)*([2]业务报告!$B:$B=$P$2)),[2]业务报告!AU:AU),"")</f>
        <v>0</v>
      </c>
      <c r="B12" s="17" cm="1">
        <f t="array" ref="B12">IFERROR(LOOKUP(1,0/(([2]业务报告!$A:$A=$N12)*([2]业务报告!$B:$B=$P$2)),[2]业务报告!AV:AV),"")</f>
        <v>0</v>
      </c>
      <c r="C12" s="20">
        <f>SUMIFS([2]业务报告!AC:AC,[2]业务报告!$A:$A,$N12,[2]业务报告!$B:$B,$P$2)</f>
        <v>0</v>
      </c>
      <c r="D12" s="21">
        <f>SUMIFS([2]业务报告!AD:AD,[2]业务报告!$A:$A,$N12,[2]业务报告!$B:$B,$P$2)</f>
        <v>0</v>
      </c>
      <c r="E12" s="20" cm="1">
        <f t="array" ref="E12">_xlfn.XLOOKUP($N12&amp;$P$2,[2]业务报告!$A:$A&amp;[2]业务报告!$B:$B,[2]业务报告!AE:AE,"")</f>
        <v>0</v>
      </c>
      <c r="F12" s="28" t="str" cm="1">
        <f t="array" ref="F12">IFERROR(LOOKUP(1,0/(([2]业务报告!$A:$A=$N12)*([2]业务报告!$B:$B=$P$2)),[2]业务报告!AK:AK),0)</f>
        <v>WBD</v>
      </c>
      <c r="G12" s="29">
        <f>SUMIFS([2]业务报告!AF:AF,[2]业务报告!$A:$A,$N12,[2]业务报告!$B:$B,$P$2)</f>
        <v>319.89</v>
      </c>
      <c r="H12" s="30" t="str" cm="1">
        <f t="array" ref="H12">IFERROR(LOOKUP(1,0/(([2]业务报告!$A:$A=$N12)*([2]业务报告!B:B=$P$2)),[2]业务报告!AG:AG),0)</f>
        <v>/</v>
      </c>
      <c r="I12" s="30" cm="1">
        <f t="array" ref="I12">IFERROR(LOOKUP(1,0/(([2]业务报告!$A:$A=$N12)*([2]业务报告!$B:$B=$P$2)),[2]业务报告!AH:AH),0)</f>
        <v>79.99</v>
      </c>
      <c r="J12" s="30">
        <f>SUMIFS([2]WT报告!A:A,[2]WT报告!$C:$C,$N12,[2]WT报告!$H:$H,$X$2)</f>
        <v>0</v>
      </c>
      <c r="K12" s="28" cm="1">
        <f t="array" ref="K12">IFERROR(LOOKUP(1,0/(([2]业务报告!$A:$A=$N12)*([2]业务报告!$B:$B=$P$2)),[2]业务报告!AI:AI),0)</f>
        <v>0</v>
      </c>
      <c r="L12" s="28" cm="1">
        <f t="array" ref="L12">IFERROR(LOOKUP(1,0/(([2]业务报告!$A:$A=$N12)*([2]业务报告!$B:$B=$P$2)),[2]业务报告!AJ:AJ),0)</f>
        <v>0</v>
      </c>
      <c r="M12" s="49" t="str">
        <f t="shared" si="0"/>
        <v>周1</v>
      </c>
      <c r="N12" s="50">
        <f>DATE($O$1,$O$2,DAY(N11)+1)</f>
        <v>45908</v>
      </c>
      <c r="O12" s="51">
        <f>SUMIFS([2]业务报告!G:G,[2]业务报告!$A:$A,$N12,[2]业务报告!$B:$B,$P$2)+SUMIFS([2]业务报告!G:G,[2]业务报告!$A:$A,$N12,[2]业务报告!$B:$B,$T$2)</f>
        <v>0</v>
      </c>
      <c r="P12" s="51">
        <f>SUMIFS([2]业务报告!H:H,[2]业务报告!$A:$A,$N12,[2]业务报告!$B:$B,$P$2)+SUMIFS([2]业务报告!H:H,[2]业务报告!$A:$A,$N12,[2]业务报告!$B:$B,$T$2)</f>
        <v>0</v>
      </c>
      <c r="Q12" s="51">
        <f>SUMIFS([2]业务报告!I:I,[2]业务报告!$A:$A,$N12,[2]业务报告!$B:$B,$P$2)+SUMIFS([2]业务报告!I:I,[2]业务报告!$A:$A,$N12,[2]业务报告!$B:$B,$T$2)</f>
        <v>0</v>
      </c>
      <c r="R12" s="51">
        <f>SUMIFS([2]业务报告!T:T,[2]业务报告!$A:$A,$N12,[2]业务报告!$B:$B,$P$2)+SUMIFS([2]业务报告!T:T,[2]业务报告!$A:$A,$N12,[2]业务报告!$B:$B,$T$2)</f>
        <v>0</v>
      </c>
      <c r="S12" s="65">
        <f t="shared" si="1"/>
        <v>0</v>
      </c>
      <c r="T12" s="66">
        <f>SUMIFS([2]业务报告!X:X,[2]业务报告!$A:$A,$N12,[2]业务报告!$B:$B,$P$2)+SUMIFS([2]业务报告!X:X,[2]业务报告!$A:$A,$N12,[2]业务报告!$B:$B,$T$2)</f>
        <v>0</v>
      </c>
      <c r="U12" s="28">
        <f>SUMIFS([2]业务报告!AO:AO,[2]业务报告!$A:$A,$N12,[2]业务报告!$B:$B,$P$2)+SUMIFS([2]业务报告!AP:AP,[2]业务报告!$A:$A,$N12,[2]业务报告!$B:$B,$P$2)</f>
        <v>0</v>
      </c>
      <c r="V12" s="73">
        <f>SUMIFS([2]WT报告!I:I,[2]WT报告!$C:$C,$N12,[2]WT报告!$H:$H,$X$2)</f>
        <v>0</v>
      </c>
      <c r="W12" s="66">
        <f>SUMIFS([2]WT报告!Z:Z,[2]WT报告!$C:$C,$N12,[2]WT报告!$H:$H,$X$2)</f>
        <v>0</v>
      </c>
      <c r="X12" s="73">
        <f>SUMIFS([2]业务报告!AS:AS,[2]业务报告!$A:$A,$N12,[2]业务报告!$B:$B,$P$2)+SUMIFS([2]业务报告!AS:AS,[2]业务报告!$A:$A,$N12,[2]业务报告!$B:$B,$T$2)+V12</f>
        <v>0</v>
      </c>
      <c r="Y12" s="85">
        <f>SUMIFS([2]业务报告!AO:AO,[2]业务报告!$A:$A,$N12,[2]业务报告!$B:$B,$P$2)*SUMIFS([2]业务报告!AM:AM,[2]业务报告!$A:$A,$N12,[2]业务报告!$B:$B,$P$2)/$AC$2+SUMIFS([2]业务报告!AP:AP,[2]业务报告!$A:$A,$N12,[2]业务报告!$B:$B,$P$2)*SUMIFS([2]业务报告!AN:AN,[2]业务报告!$A:$A,$N12,[2]业务报告!$B:$B,$P$2)/$AC$2</f>
        <v>0</v>
      </c>
      <c r="Z12" s="86">
        <f>(I12*(1-$AD$2-4%-10%)-$AD$1-$AC$1/$AC$2)*BB12-BC12</f>
        <v>0</v>
      </c>
      <c r="AA12" s="87">
        <f>(I12*(1-$AD$2-4%-10%)-$AD$1-$AC$1/$AC$2)*(R12-IF(R12&gt;V12,SUMIFS([2]业务报告!AO:AO,[2]业务报告!$A:$A,$N12,[2]业务报告!$B:$B,$P$2),0))-BC12</f>
        <v>0</v>
      </c>
      <c r="AB12" s="88">
        <f t="shared" si="2"/>
        <v>0</v>
      </c>
      <c r="AC12" s="86">
        <f>AR12*(J12-$AC$1/$AC$2-J12*4%)-AS12</f>
        <v>0</v>
      </c>
      <c r="AD12" s="87">
        <f>(V12-IF(R12&lt;V12,SUMIFS([2]业务报告!AO:AO,[2]业务报告!$A:$A,$N12,[2]业务报告!$B:$B,$P$2),0))*(J12-$AC$1/$AC$2-J12*4%)-AS12</f>
        <v>0</v>
      </c>
      <c r="AE12" s="87" cm="1">
        <f t="array" ref="AE12">IFERROR(LOOKUP(1,0/(([2]业务报告!$A:$A=$N12)*([2]业务报告!$B:$B=$P$2)),[2]业务报告!AQ:AQ),0)*$AH$2</f>
        <v>0</v>
      </c>
      <c r="AF12" s="87" cm="1">
        <f t="array" ref="AF12">IFERROR(LOOKUP(1,0/(([2]业务报告!$A:$A=$N12)*([2]业务报告!$B:$B=$P$2)),[2]业务报告!AR:AR),0)*$AG$2</f>
        <v>0</v>
      </c>
      <c r="AG12" s="87">
        <f t="shared" si="3"/>
        <v>0</v>
      </c>
      <c r="AH12" s="88">
        <f t="shared" si="4"/>
        <v>0</v>
      </c>
      <c r="AI12" s="116">
        <f t="shared" si="5"/>
        <v>0</v>
      </c>
      <c r="AJ12" s="117">
        <f t="shared" si="6"/>
        <v>0</v>
      </c>
      <c r="AK12" s="122">
        <f t="shared" si="7"/>
        <v>0</v>
      </c>
      <c r="AL12" s="116">
        <f>SUMIFS([2]WT报告!S:S,[2]WT报告!$C:$C,$N12,[2]WT报告!$H:$H,$X$2)</f>
        <v>0</v>
      </c>
      <c r="AM12" s="123">
        <f t="shared" si="8"/>
        <v>0</v>
      </c>
      <c r="AN12" s="124">
        <f>SUMIFS([2]WT报告!N:N,[2]WT报告!$C:$C,$N12,[2]WT报告!$H:$H,$X$2)</f>
        <v>0</v>
      </c>
      <c r="AO12" s="117">
        <f t="shared" si="9"/>
        <v>0</v>
      </c>
      <c r="AP12" s="87">
        <f>SUMIFS([2]WT报告!P:P,[2]WT报告!$C:$C,$N12,[2]WT报告!$H:$H,$X$2)</f>
        <v>0</v>
      </c>
      <c r="AQ12" s="129">
        <f>SUMIFS([2]WT报告!Q:Q,[2]WT报告!$C:$C,$N12,[2]WT报告!$H:$H,$X$2)</f>
        <v>0</v>
      </c>
      <c r="AR12" s="87">
        <f>SUMIFS([2]WT报告!J:J,[2]WT报告!$C:$C,$N12,[2]WT报告!$H:$H,$X$2)</f>
        <v>0</v>
      </c>
      <c r="AS12" s="133">
        <f>SUMIFS([2]WT报告!M:M,[2]WT报告!$C:$C,$N12,[2]WT报告!$H:$H,$X$2)</f>
        <v>0</v>
      </c>
      <c r="AT12" s="134">
        <f t="shared" si="10"/>
        <v>0</v>
      </c>
      <c r="AU12" s="122">
        <f t="shared" si="11"/>
        <v>0</v>
      </c>
      <c r="AV12" s="133">
        <f t="shared" si="12"/>
        <v>0</v>
      </c>
      <c r="AW12" s="123">
        <f t="shared" si="13"/>
        <v>0</v>
      </c>
      <c r="AX12" s="124">
        <f t="shared" si="14"/>
        <v>0</v>
      </c>
      <c r="AY12" s="117">
        <f t="shared" si="15"/>
        <v>0</v>
      </c>
      <c r="AZ12" s="122">
        <f t="shared" si="16"/>
        <v>0</v>
      </c>
      <c r="BA12" s="142">
        <f t="shared" si="17"/>
        <v>0</v>
      </c>
      <c r="BB12" s="122">
        <f t="shared" si="18"/>
        <v>0</v>
      </c>
      <c r="BC12" s="133">
        <f t="shared" si="19"/>
        <v>0</v>
      </c>
      <c r="BD12" s="123">
        <f t="shared" si="20"/>
        <v>0</v>
      </c>
      <c r="BE12" s="150">
        <f t="shared" si="21"/>
        <v>0</v>
      </c>
      <c r="BF12" s="123">
        <f t="shared" si="22"/>
        <v>0</v>
      </c>
      <c r="BG12" s="122">
        <f t="shared" si="23"/>
        <v>0</v>
      </c>
      <c r="BH12" s="122">
        <f>SUMIFS([2]SP!J:J,[2]SP!A:A,N12,[2]SP!H:H,$P$2)+SUMIFS([2]SP!J:J,[2]SP!A:A,N12,[2]SP!H:H,$T$2)</f>
        <v>0</v>
      </c>
      <c r="BI12" s="122">
        <f>SUMIFS([2]SP!K:K,[2]SP!A:A,N12,[2]SP!H:H,$P$2)+SUMIFS([2]SP!K:K,[2]SP!A:A,N12,[2]SP!H:H,$T$2)</f>
        <v>0</v>
      </c>
      <c r="BJ12" s="154">
        <f t="shared" si="24"/>
        <v>0</v>
      </c>
      <c r="BK12" s="124">
        <f t="shared" si="25"/>
        <v>0</v>
      </c>
      <c r="BL12" s="122">
        <f>SUMIFS([2]SP!R:R,[2]SP!A:A,N12,[2]SP!H:H,$P$2)+SUMIFS([2]SP!R:R,[2]SP!A:A,N12,[2]SP!H:H,$T$2)</f>
        <v>0</v>
      </c>
      <c r="BM12" s="124">
        <f>SUMIFS([2]SP!O:O,[2]SP!A:A,$N12,[2]SP!H:H,$P$2)+SUMIFS([2]SP!O:O,[2]SP!A:A,$N12,[2]SP!H:H,$T$2)</f>
        <v>0</v>
      </c>
      <c r="BN12" s="160">
        <f t="shared" si="26"/>
        <v>0</v>
      </c>
      <c r="BO12" s="122">
        <f>SUMIFS([2]SP!N:N,[2]SP!A:A,N12,[2]SP!H:H,$P$2)+SUMIFS([2]SP!N:N,[2]SP!A:A,N12,[2]SP!H:H,$T$2)</f>
        <v>0</v>
      </c>
      <c r="BP12" s="161">
        <f t="shared" si="27"/>
        <v>0</v>
      </c>
      <c r="BQ12" s="122">
        <f>SUMIFS([2]SD!J:J,[2]SD!A:A,N12,[2]SD!H:H,$P$2)+SUMIFS([2]SD!J:J,[2]SD!A:A,N12,[2]SD!H:H,$T$2)</f>
        <v>0</v>
      </c>
      <c r="BR12" s="122">
        <f>SUMIFS([2]SD!L:L,[2]SD!A:A,N12,[2]SD!H:H,$P$2)+SUMIFS([2]SD!L:L,[2]SD!A:A,N12,[2]SD!H:H,$T$2)</f>
        <v>0</v>
      </c>
      <c r="BS12" s="154">
        <f t="shared" si="28"/>
        <v>0</v>
      </c>
      <c r="BT12" s="124">
        <f t="shared" si="29"/>
        <v>0</v>
      </c>
      <c r="BU12" s="122">
        <f>SUMIFS([2]SD!U:U,[2]SD!A:A,N12,[2]SD!H:H,$P$2)+SUMIFS([2]SD!U:U,[2]SD!A:A,N12,[2]SD!H:H,$T$2)</f>
        <v>0</v>
      </c>
      <c r="BV12" s="124">
        <f>SUMIFS([2]SD!V:V,[2]SD!A:A,N12,[2]SD!H:H,$P$2)+SUMIFS([2]SD!V:V,[2]SD!A:A,N12,[2]SD!H:H,$T$2)</f>
        <v>0</v>
      </c>
      <c r="BW12" s="160">
        <f t="shared" si="30"/>
        <v>0</v>
      </c>
      <c r="BX12" s="124">
        <f>SUMIFS([2]SD!O:O,[2]SD!A:A,N12,[2]SD!H:H,$P$2)+SUMIFS([2]SD!O:O,[2]SD!A:A,N12,[2]SD!H:H,$T$2)</f>
        <v>0</v>
      </c>
      <c r="BY12" s="161">
        <f t="shared" si="31"/>
        <v>0</v>
      </c>
      <c r="BZ12" s="122">
        <f>SUMIFS([2]SB!H:H,[2]SB!B:B,N12,[2]SB!A:A,$P$2)+SUMIFS([2]SB!H:H,[2]SB!B:B,N12,[2]SB!A:A,$T$2)</f>
        <v>0</v>
      </c>
      <c r="CA12" s="122">
        <f>SUMIFS([2]SB!I:I,[2]SB!B:B,N12,[2]SB!A:A,$P$2)+SUMIFS([2]SB!I:I,[2]SB!B:B,N12,[2]SB!A:A,$T$2)</f>
        <v>0</v>
      </c>
      <c r="CB12" s="154">
        <f t="shared" si="32"/>
        <v>0</v>
      </c>
      <c r="CC12" s="124">
        <f t="shared" si="33"/>
        <v>0</v>
      </c>
      <c r="CD12" s="122">
        <f>SUMIFS([2]SB!Q:Q,[2]SB!B:B,N12,[2]SB!A:A,$P$2)+SUMIFS([2]SB!Q:Q,[2]SB!B:B,N12,[2]SB!A:A,$T$2)</f>
        <v>0</v>
      </c>
      <c r="CE12" s="124">
        <f>SUMIFS([2]SB!O:O,[2]SB!B:B,N12,[2]SB!A:A,$P$2)+SUMIFS([2]SB!O:O,[2]SB!B:B,N12,[2]SB!A:A,$T$2)</f>
        <v>0</v>
      </c>
      <c r="CF12" s="160">
        <f t="shared" si="34"/>
        <v>0</v>
      </c>
      <c r="CG12" s="124">
        <f>SUMIFS([2]SB!L:L,[2]SB!B:B,N12,[2]SB!A:A,$P$2)+SUMIFS([2]SB!L:L,[2]SB!B:B,N12,[2]SB!A:A,$T$2)</f>
        <v>0</v>
      </c>
      <c r="CH12" s="161">
        <f t="shared" si="35"/>
        <v>0</v>
      </c>
    </row>
    <row r="13" s="1" customFormat="1" hidden="1" spans="1:86">
      <c r="A13" s="17" cm="1">
        <f t="array" ref="A13">IFERROR(LOOKUP(1,0/(([2]业务报告!$A:$A=$N13)*([2]业务报告!$B:$B=$P$2)),[2]业务报告!AU:AU),"")</f>
        <v>0</v>
      </c>
      <c r="B13" s="17" cm="1">
        <f t="array" ref="B13">IFERROR(LOOKUP(1,0/(([2]业务报告!$A:$A=$N13)*([2]业务报告!$B:$B=$P$2)),[2]业务报告!AV:AV),"")</f>
        <v>0</v>
      </c>
      <c r="C13" s="20">
        <f>SUMIFS([2]业务报告!AC:AC,[2]业务报告!$A:$A,$N13,[2]业务报告!$B:$B,$P$2)</f>
        <v>0</v>
      </c>
      <c r="D13" s="21">
        <f>SUMIFS([2]业务报告!AD:AD,[2]业务报告!$A:$A,$N13,[2]业务报告!$B:$B,$P$2)</f>
        <v>0</v>
      </c>
      <c r="E13" s="20" cm="1">
        <f t="array" ref="E13">_xlfn.XLOOKUP($N13&amp;$P$2,[2]业务报告!$A:$A&amp;[2]业务报告!$B:$B,[2]业务报告!AE:AE,"")</f>
        <v>0</v>
      </c>
      <c r="F13" s="28" t="str" cm="1">
        <f t="array" ref="F13">IFERROR(LOOKUP(1,0/(([2]业务报告!$A:$A=$N13)*([2]业务报告!$B:$B=$P$2)),[2]业务报告!AK:AK),0)</f>
        <v>WBD</v>
      </c>
      <c r="G13" s="29">
        <f>SUMIFS([2]业务报告!AF:AF,[2]业务报告!$A:$A,$N13,[2]业务报告!$B:$B,$P$2)</f>
        <v>319.89</v>
      </c>
      <c r="H13" s="30" t="str" cm="1">
        <f t="array" ref="H13">IFERROR(LOOKUP(1,0/(([2]业务报告!$A:$A=$N13)*([2]业务报告!B:B=$P$2)),[2]业务报告!AG:AG),0)</f>
        <v>/</v>
      </c>
      <c r="I13" s="30" cm="1">
        <f t="array" ref="I13">IFERROR(LOOKUP(1,0/(([2]业务报告!$A:$A=$N13)*([2]业务报告!$B:$B=$P$2)),[2]业务报告!AH:AH),0)</f>
        <v>79.99</v>
      </c>
      <c r="J13" s="30">
        <f>SUMIFS([2]WT报告!A:A,[2]WT报告!$C:$C,$N13,[2]WT报告!$H:$H,$X$2)</f>
        <v>0</v>
      </c>
      <c r="K13" s="28" cm="1">
        <f t="array" ref="K13">IFERROR(LOOKUP(1,0/(([2]业务报告!$A:$A=$N13)*([2]业务报告!$B:$B=$P$2)),[2]业务报告!AI:AI),0)</f>
        <v>0</v>
      </c>
      <c r="L13" s="28" cm="1">
        <f t="array" ref="L13">IFERROR(LOOKUP(1,0/(([2]业务报告!$A:$A=$N13)*([2]业务报告!$B:$B=$P$2)),[2]业务报告!AJ:AJ),0)</f>
        <v>0</v>
      </c>
      <c r="M13" s="49" t="str">
        <f t="shared" si="0"/>
        <v>周2</v>
      </c>
      <c r="N13" s="50">
        <f>DATE($O$1,$O$2,DAY(N12)+1)</f>
        <v>45909</v>
      </c>
      <c r="O13" s="51">
        <f>SUMIFS([2]业务报告!G:G,[2]业务报告!$A:$A,$N13,[2]业务报告!$B:$B,$P$2)+SUMIFS([2]业务报告!G:G,[2]业务报告!$A:$A,$N13,[2]业务报告!$B:$B,$T$2)</f>
        <v>0</v>
      </c>
      <c r="P13" s="51">
        <f>SUMIFS([2]业务报告!H:H,[2]业务报告!$A:$A,$N13,[2]业务报告!$B:$B,$P$2)+SUMIFS([2]业务报告!H:H,[2]业务报告!$A:$A,$N13,[2]业务报告!$B:$B,$T$2)</f>
        <v>0</v>
      </c>
      <c r="Q13" s="51">
        <f>SUMIFS([2]业务报告!I:I,[2]业务报告!$A:$A,$N13,[2]业务报告!$B:$B,$P$2)+SUMIFS([2]业务报告!I:I,[2]业务报告!$A:$A,$N13,[2]业务报告!$B:$B,$T$2)</f>
        <v>0</v>
      </c>
      <c r="R13" s="51">
        <f>SUMIFS([2]业务报告!T:T,[2]业务报告!$A:$A,$N13,[2]业务报告!$B:$B,$P$2)+SUMIFS([2]业务报告!T:T,[2]业务报告!$A:$A,$N13,[2]业务报告!$B:$B,$T$2)</f>
        <v>0</v>
      </c>
      <c r="S13" s="65">
        <f t="shared" si="1"/>
        <v>0</v>
      </c>
      <c r="T13" s="66">
        <f>SUMIFS([2]业务报告!X:X,[2]业务报告!$A:$A,$N13,[2]业务报告!$B:$B,$P$2)+SUMIFS([2]业务报告!X:X,[2]业务报告!$A:$A,$N13,[2]业务报告!$B:$B,$T$2)</f>
        <v>0</v>
      </c>
      <c r="U13" s="28">
        <f>SUMIFS([2]业务报告!AO:AO,[2]业务报告!$A:$A,$N13,[2]业务报告!$B:$B,$P$2)+SUMIFS([2]业务报告!AP:AP,[2]业务报告!$A:$A,$N13,[2]业务报告!$B:$B,$P$2)</f>
        <v>0</v>
      </c>
      <c r="V13" s="73">
        <f>SUMIFS([2]WT报告!I:I,[2]WT报告!$C:$C,$N13,[2]WT报告!$H:$H,$X$2)</f>
        <v>0</v>
      </c>
      <c r="W13" s="66">
        <f>SUMIFS([2]WT报告!Z:Z,[2]WT报告!$C:$C,$N13,[2]WT报告!$H:$H,$X$2)</f>
        <v>0</v>
      </c>
      <c r="X13" s="73">
        <f>SUMIFS([2]业务报告!AS:AS,[2]业务报告!$A:$A,$N13,[2]业务报告!$B:$B,$P$2)+SUMIFS([2]业务报告!AS:AS,[2]业务报告!$A:$A,$N13,[2]业务报告!$B:$B,$T$2)+V13</f>
        <v>0</v>
      </c>
      <c r="Y13" s="85">
        <f>SUMIFS([2]业务报告!AO:AO,[2]业务报告!$A:$A,$N13,[2]业务报告!$B:$B,$P$2)*SUMIFS([2]业务报告!AM:AM,[2]业务报告!$A:$A,$N13,[2]业务报告!$B:$B,$P$2)/$AC$2+SUMIFS([2]业务报告!AP:AP,[2]业务报告!$A:$A,$N13,[2]业务报告!$B:$B,$P$2)*SUMIFS([2]业务报告!AN:AN,[2]业务报告!$A:$A,$N13,[2]业务报告!$B:$B,$P$2)/$AC$2</f>
        <v>0</v>
      </c>
      <c r="Z13" s="86">
        <f>(I13*(1-$AD$2-4%-10%)-$AD$1-$AC$1/$AC$2)*BB13-BC13</f>
        <v>0</v>
      </c>
      <c r="AA13" s="87">
        <f>(I13*(1-$AD$2-4%-10%)-$AD$1-$AC$1/$AC$2)*(R13-IF(R13&gt;V13,SUMIFS([2]业务报告!AO:AO,[2]业务报告!$A:$A,$N13,[2]业务报告!$B:$B,$P$2),0))-BC13</f>
        <v>0</v>
      </c>
      <c r="AB13" s="88">
        <f t="shared" si="2"/>
        <v>0</v>
      </c>
      <c r="AC13" s="86">
        <f>AR13*(J13-$AC$1/$AC$2-J13*4%)-AS13</f>
        <v>0</v>
      </c>
      <c r="AD13" s="87">
        <f>(V13-IF(R13&lt;V13,SUMIFS([2]业务报告!AO:AO,[2]业务报告!$A:$A,$N13,[2]业务报告!$B:$B,$P$2),0))*(J13-$AC$1/$AC$2-J13*4%)-AS13</f>
        <v>0</v>
      </c>
      <c r="AE13" s="87" cm="1">
        <f t="array" ref="AE13">IFERROR(LOOKUP(1,0/(([2]业务报告!$A:$A=$N13)*([2]业务报告!$B:$B=$P$2)),[2]业务报告!AQ:AQ),0)*$AH$2</f>
        <v>0</v>
      </c>
      <c r="AF13" s="87" cm="1">
        <f t="array" ref="AF13">IFERROR(LOOKUP(1,0/(([2]业务报告!$A:$A=$N13)*([2]业务报告!$B:$B=$P$2)),[2]业务报告!AR:AR),0)*$AG$2</f>
        <v>0</v>
      </c>
      <c r="AG13" s="87">
        <f t="shared" si="3"/>
        <v>0</v>
      </c>
      <c r="AH13" s="88">
        <f t="shared" si="4"/>
        <v>0</v>
      </c>
      <c r="AI13" s="116">
        <f t="shared" si="5"/>
        <v>0</v>
      </c>
      <c r="AJ13" s="117">
        <f t="shared" si="6"/>
        <v>0</v>
      </c>
      <c r="AK13" s="122">
        <f t="shared" si="7"/>
        <v>0</v>
      </c>
      <c r="AL13" s="116">
        <f>SUMIFS([2]WT报告!S:S,[2]WT报告!$C:$C,$N13,[2]WT报告!$H:$H,$X$2)</f>
        <v>0</v>
      </c>
      <c r="AM13" s="123">
        <f t="shared" si="8"/>
        <v>0</v>
      </c>
      <c r="AN13" s="124">
        <f>SUMIFS([2]WT报告!N:N,[2]WT报告!$C:$C,$N13,[2]WT报告!$H:$H,$X$2)</f>
        <v>0</v>
      </c>
      <c r="AO13" s="117">
        <f t="shared" si="9"/>
        <v>0</v>
      </c>
      <c r="AP13" s="87">
        <f>SUMIFS([2]WT报告!P:P,[2]WT报告!$C:$C,$N13,[2]WT报告!$H:$H,$X$2)</f>
        <v>0</v>
      </c>
      <c r="AQ13" s="129">
        <f>SUMIFS([2]WT报告!Q:Q,[2]WT报告!$C:$C,$N13,[2]WT报告!$H:$H,$X$2)</f>
        <v>0</v>
      </c>
      <c r="AR13" s="87">
        <f>SUMIFS([2]WT报告!J:J,[2]WT报告!$C:$C,$N13,[2]WT报告!$H:$H,$X$2)</f>
        <v>0</v>
      </c>
      <c r="AS13" s="133">
        <f>SUMIFS([2]WT报告!M:M,[2]WT报告!$C:$C,$N13,[2]WT报告!$H:$H,$X$2)</f>
        <v>0</v>
      </c>
      <c r="AT13" s="134">
        <f t="shared" si="10"/>
        <v>0</v>
      </c>
      <c r="AU13" s="122">
        <f t="shared" si="11"/>
        <v>0</v>
      </c>
      <c r="AV13" s="133">
        <f t="shared" si="12"/>
        <v>0</v>
      </c>
      <c r="AW13" s="123">
        <f t="shared" si="13"/>
        <v>0</v>
      </c>
      <c r="AX13" s="124">
        <f t="shared" si="14"/>
        <v>0</v>
      </c>
      <c r="AY13" s="117">
        <f t="shared" si="15"/>
        <v>0</v>
      </c>
      <c r="AZ13" s="122">
        <f t="shared" si="16"/>
        <v>0</v>
      </c>
      <c r="BA13" s="142">
        <f t="shared" si="17"/>
        <v>0</v>
      </c>
      <c r="BB13" s="122">
        <f t="shared" si="18"/>
        <v>0</v>
      </c>
      <c r="BC13" s="133">
        <f t="shared" si="19"/>
        <v>0</v>
      </c>
      <c r="BD13" s="123">
        <f t="shared" si="20"/>
        <v>0</v>
      </c>
      <c r="BE13" s="150">
        <f t="shared" si="21"/>
        <v>0</v>
      </c>
      <c r="BF13" s="123">
        <f t="shared" si="22"/>
        <v>0</v>
      </c>
      <c r="BG13" s="122">
        <f t="shared" si="23"/>
        <v>0</v>
      </c>
      <c r="BH13" s="122">
        <f>SUMIFS([2]SP!J:J,[2]SP!A:A,N13,[2]SP!H:H,$P$2)+SUMIFS([2]SP!J:J,[2]SP!A:A,N13,[2]SP!H:H,$T$2)</f>
        <v>0</v>
      </c>
      <c r="BI13" s="122">
        <f>SUMIFS([2]SP!K:K,[2]SP!A:A,N13,[2]SP!H:H,$P$2)+SUMIFS([2]SP!K:K,[2]SP!A:A,N13,[2]SP!H:H,$T$2)</f>
        <v>0</v>
      </c>
      <c r="BJ13" s="154">
        <f t="shared" si="24"/>
        <v>0</v>
      </c>
      <c r="BK13" s="124">
        <f t="shared" si="25"/>
        <v>0</v>
      </c>
      <c r="BL13" s="122">
        <f>SUMIFS([2]SP!R:R,[2]SP!A:A,N13,[2]SP!H:H,$P$2)+SUMIFS([2]SP!R:R,[2]SP!A:A,N13,[2]SP!H:H,$T$2)</f>
        <v>0</v>
      </c>
      <c r="BM13" s="124">
        <f>SUMIFS([2]SP!O:O,[2]SP!A:A,$N13,[2]SP!H:H,$P$2)+SUMIFS([2]SP!O:O,[2]SP!A:A,$N13,[2]SP!H:H,$T$2)</f>
        <v>0</v>
      </c>
      <c r="BN13" s="160">
        <f t="shared" si="26"/>
        <v>0</v>
      </c>
      <c r="BO13" s="122">
        <f>SUMIFS([2]SP!N:N,[2]SP!A:A,N13,[2]SP!H:H,$P$2)+SUMIFS([2]SP!N:N,[2]SP!A:A,N13,[2]SP!H:H,$T$2)</f>
        <v>0</v>
      </c>
      <c r="BP13" s="161">
        <f t="shared" si="27"/>
        <v>0</v>
      </c>
      <c r="BQ13" s="122">
        <f>SUMIFS([2]SD!J:J,[2]SD!A:A,N13,[2]SD!H:H,$P$2)+SUMIFS([2]SD!J:J,[2]SD!A:A,N13,[2]SD!H:H,$T$2)</f>
        <v>0</v>
      </c>
      <c r="BR13" s="122">
        <f>SUMIFS([2]SD!L:L,[2]SD!A:A,N13,[2]SD!H:H,$P$2)+SUMIFS([2]SD!L:L,[2]SD!A:A,N13,[2]SD!H:H,$T$2)</f>
        <v>0</v>
      </c>
      <c r="BS13" s="154">
        <f t="shared" si="28"/>
        <v>0</v>
      </c>
      <c r="BT13" s="124">
        <f t="shared" si="29"/>
        <v>0</v>
      </c>
      <c r="BU13" s="122">
        <f>SUMIFS([2]SD!U:U,[2]SD!A:A,N13,[2]SD!H:H,$P$2)+SUMIFS([2]SD!U:U,[2]SD!A:A,N13,[2]SD!H:H,$T$2)</f>
        <v>0</v>
      </c>
      <c r="BV13" s="124">
        <f>SUMIFS([2]SD!V:V,[2]SD!A:A,N13,[2]SD!H:H,$P$2)+SUMIFS([2]SD!V:V,[2]SD!A:A,N13,[2]SD!H:H,$T$2)</f>
        <v>0</v>
      </c>
      <c r="BW13" s="160">
        <f t="shared" si="30"/>
        <v>0</v>
      </c>
      <c r="BX13" s="124">
        <f>SUMIFS([2]SD!O:O,[2]SD!A:A,N13,[2]SD!H:H,$P$2)+SUMIFS([2]SD!O:O,[2]SD!A:A,N13,[2]SD!H:H,$T$2)</f>
        <v>0</v>
      </c>
      <c r="BY13" s="161">
        <f t="shared" si="31"/>
        <v>0</v>
      </c>
      <c r="BZ13" s="122">
        <f>SUMIFS([2]SB!H:H,[2]SB!B:B,N13,[2]SB!A:A,$P$2)+SUMIFS([2]SB!H:H,[2]SB!B:B,N13,[2]SB!A:A,$T$2)</f>
        <v>0</v>
      </c>
      <c r="CA13" s="122">
        <f>SUMIFS([2]SB!I:I,[2]SB!B:B,N13,[2]SB!A:A,$P$2)+SUMIFS([2]SB!I:I,[2]SB!B:B,N13,[2]SB!A:A,$T$2)</f>
        <v>0</v>
      </c>
      <c r="CB13" s="154">
        <f t="shared" si="32"/>
        <v>0</v>
      </c>
      <c r="CC13" s="124">
        <f t="shared" si="33"/>
        <v>0</v>
      </c>
      <c r="CD13" s="122">
        <f>SUMIFS([2]SB!Q:Q,[2]SB!B:B,N13,[2]SB!A:A,$P$2)+SUMIFS([2]SB!Q:Q,[2]SB!B:B,N13,[2]SB!A:A,$T$2)</f>
        <v>0</v>
      </c>
      <c r="CE13" s="124">
        <f>SUMIFS([2]SB!O:O,[2]SB!B:B,N13,[2]SB!A:A,$P$2)+SUMIFS([2]SB!O:O,[2]SB!B:B,N13,[2]SB!A:A,$T$2)</f>
        <v>0</v>
      </c>
      <c r="CF13" s="160">
        <f t="shared" si="34"/>
        <v>0</v>
      </c>
      <c r="CG13" s="124">
        <f>SUMIFS([2]SB!L:L,[2]SB!B:B,N13,[2]SB!A:A,$P$2)+SUMIFS([2]SB!L:L,[2]SB!B:B,N13,[2]SB!A:A,$T$2)</f>
        <v>0</v>
      </c>
      <c r="CH13" s="161">
        <f t="shared" si="35"/>
        <v>0</v>
      </c>
    </row>
    <row r="14" s="1" customFormat="1" hidden="1" spans="1:86">
      <c r="A14" s="17" cm="1">
        <f t="array" ref="A14">IFERROR(LOOKUP(1,0/(([2]业务报告!$A:$A=$N14)*([2]业务报告!$B:$B=$P$2)),[2]业务报告!AU:AU),"")</f>
        <v>0</v>
      </c>
      <c r="B14" s="17" cm="1">
        <f t="array" ref="B14">IFERROR(LOOKUP(1,0/(([2]业务报告!$A:$A=$N14)*([2]业务报告!$B:$B=$P$2)),[2]业务报告!AV:AV),"")</f>
        <v>0</v>
      </c>
      <c r="C14" s="20">
        <f>SUMIFS([2]业务报告!AC:AC,[2]业务报告!$A:$A,$N14,[2]业务报告!$B:$B,$P$2)</f>
        <v>0</v>
      </c>
      <c r="D14" s="21">
        <f>SUMIFS([2]业务报告!AD:AD,[2]业务报告!$A:$A,$N14,[2]业务报告!$B:$B,$P$2)</f>
        <v>0</v>
      </c>
      <c r="E14" s="20" cm="1">
        <f t="array" ref="E14">_xlfn.XLOOKUP($N14&amp;$P$2,[2]业务报告!$A:$A&amp;[2]业务报告!$B:$B,[2]业务报告!AE:AE,"")</f>
        <v>0</v>
      </c>
      <c r="F14" s="28" t="str" cm="1">
        <f t="array" ref="F14">IFERROR(LOOKUP(1,0/(([2]业务报告!$A:$A=$N14)*([2]业务报告!$B:$B=$P$2)),[2]业务报告!AK:AK),0)</f>
        <v>WBD</v>
      </c>
      <c r="G14" s="29">
        <f>SUMIFS([2]业务报告!AF:AF,[2]业务报告!$A:$A,$N14,[2]业务报告!$B:$B,$P$2)</f>
        <v>319.89</v>
      </c>
      <c r="H14" s="30" t="str" cm="1">
        <f t="array" ref="H14">IFERROR(LOOKUP(1,0/(([2]业务报告!$A:$A=$N14)*([2]业务报告!B:B=$P$2)),[2]业务报告!AG:AG),0)</f>
        <v>/</v>
      </c>
      <c r="I14" s="30" cm="1">
        <f t="array" ref="I14">IFERROR(LOOKUP(1,0/(([2]业务报告!$A:$A=$N14)*([2]业务报告!$B:$B=$P$2)),[2]业务报告!AH:AH),0)</f>
        <v>79.99</v>
      </c>
      <c r="J14" s="30">
        <f>SUMIFS([2]WT报告!A:A,[2]WT报告!$C:$C,$N14,[2]WT报告!$H:$H,$X$2)</f>
        <v>0</v>
      </c>
      <c r="K14" s="28" cm="1">
        <f t="array" ref="K14">IFERROR(LOOKUP(1,0/(([2]业务报告!$A:$A=$N14)*([2]业务报告!$B:$B=$P$2)),[2]业务报告!AI:AI),0)</f>
        <v>0</v>
      </c>
      <c r="L14" s="28" cm="1">
        <f t="array" ref="L14">IFERROR(LOOKUP(1,0/(([2]业务报告!$A:$A=$N14)*([2]业务报告!$B:$B=$P$2)),[2]业务报告!AJ:AJ),0)</f>
        <v>0</v>
      </c>
      <c r="M14" s="49" t="str">
        <f t="shared" si="0"/>
        <v>周3</v>
      </c>
      <c r="N14" s="50">
        <f>DATE($O$1,$O$2,DAY(N13)+1)</f>
        <v>45910</v>
      </c>
      <c r="O14" s="51">
        <f>SUMIFS([2]业务报告!G:G,[2]业务报告!$A:$A,$N14,[2]业务报告!$B:$B,$P$2)+SUMIFS([2]业务报告!G:G,[2]业务报告!$A:$A,$N14,[2]业务报告!$B:$B,$T$2)</f>
        <v>0</v>
      </c>
      <c r="P14" s="51">
        <f>SUMIFS([2]业务报告!H:H,[2]业务报告!$A:$A,$N14,[2]业务报告!$B:$B,$P$2)+SUMIFS([2]业务报告!H:H,[2]业务报告!$A:$A,$N14,[2]业务报告!$B:$B,$T$2)</f>
        <v>0</v>
      </c>
      <c r="Q14" s="51">
        <f>SUMIFS([2]业务报告!I:I,[2]业务报告!$A:$A,$N14,[2]业务报告!$B:$B,$P$2)+SUMIFS([2]业务报告!I:I,[2]业务报告!$A:$A,$N14,[2]业务报告!$B:$B,$T$2)</f>
        <v>0</v>
      </c>
      <c r="R14" s="51">
        <f>SUMIFS([2]业务报告!T:T,[2]业务报告!$A:$A,$N14,[2]业务报告!$B:$B,$P$2)+SUMIFS([2]业务报告!T:T,[2]业务报告!$A:$A,$N14,[2]业务报告!$B:$B,$T$2)</f>
        <v>0</v>
      </c>
      <c r="S14" s="65">
        <f t="shared" si="1"/>
        <v>0</v>
      </c>
      <c r="T14" s="66">
        <f>SUMIFS([2]业务报告!X:X,[2]业务报告!$A:$A,$N14,[2]业务报告!$B:$B,$P$2)+SUMIFS([2]业务报告!X:X,[2]业务报告!$A:$A,$N14,[2]业务报告!$B:$B,$T$2)</f>
        <v>0</v>
      </c>
      <c r="U14" s="28">
        <f>SUMIFS([2]业务报告!AO:AO,[2]业务报告!$A:$A,$N14,[2]业务报告!$B:$B,$P$2)+SUMIFS([2]业务报告!AP:AP,[2]业务报告!$A:$A,$N14,[2]业务报告!$B:$B,$P$2)</f>
        <v>0</v>
      </c>
      <c r="V14" s="73">
        <f>SUMIFS([2]WT报告!I:I,[2]WT报告!$C:$C,$N14,[2]WT报告!$H:$H,$X$2)</f>
        <v>0</v>
      </c>
      <c r="W14" s="66">
        <f>SUMIFS([2]WT报告!Z:Z,[2]WT报告!$C:$C,$N14,[2]WT报告!$H:$H,$X$2)</f>
        <v>0</v>
      </c>
      <c r="X14" s="73">
        <f>SUMIFS([2]业务报告!AS:AS,[2]业务报告!$A:$A,$N14,[2]业务报告!$B:$B,$P$2)+SUMIFS([2]业务报告!AS:AS,[2]业务报告!$A:$A,$N14,[2]业务报告!$B:$B,$T$2)+V14</f>
        <v>0</v>
      </c>
      <c r="Y14" s="85">
        <f>SUMIFS([2]业务报告!AO:AO,[2]业务报告!$A:$A,$N14,[2]业务报告!$B:$B,$P$2)*SUMIFS([2]业务报告!AM:AM,[2]业务报告!$A:$A,$N14,[2]业务报告!$B:$B,$P$2)/$AC$2+SUMIFS([2]业务报告!AP:AP,[2]业务报告!$A:$A,$N14,[2]业务报告!$B:$B,$P$2)*SUMIFS([2]业务报告!AN:AN,[2]业务报告!$A:$A,$N14,[2]业务报告!$B:$B,$P$2)/$AC$2</f>
        <v>0</v>
      </c>
      <c r="Z14" s="86">
        <f>(I14*(1-$AD$2-4%-10%)-$AD$1-$AC$1/$AC$2)*BB14-BC14</f>
        <v>0</v>
      </c>
      <c r="AA14" s="87">
        <f>(I14*(1-$AD$2-4%-10%)-$AD$1-$AC$1/$AC$2)*(R14-IF(R14&gt;V14,SUMIFS([2]业务报告!AO:AO,[2]业务报告!$A:$A,$N14,[2]业务报告!$B:$B,$P$2),0))-BC14</f>
        <v>0</v>
      </c>
      <c r="AB14" s="88">
        <f t="shared" si="2"/>
        <v>0</v>
      </c>
      <c r="AC14" s="86">
        <f>AR14*(J14-$AC$1/$AC$2-J14*4%)-AS14</f>
        <v>0</v>
      </c>
      <c r="AD14" s="87">
        <f>(V14-IF(R14&lt;V14,SUMIFS([2]业务报告!AO:AO,[2]业务报告!$A:$A,$N14,[2]业务报告!$B:$B,$P$2),0))*(J14-$AC$1/$AC$2-J14*4%)-AS14</f>
        <v>0</v>
      </c>
      <c r="AE14" s="87" cm="1">
        <f t="array" ref="AE14">IFERROR(LOOKUP(1,0/(([2]业务报告!$A:$A=$N14)*([2]业务报告!$B:$B=$P$2)),[2]业务报告!AQ:AQ),0)*$AH$2</f>
        <v>0</v>
      </c>
      <c r="AF14" s="87" cm="1">
        <f t="array" ref="AF14">IFERROR(LOOKUP(1,0/(([2]业务报告!$A:$A=$N14)*([2]业务报告!$B:$B=$P$2)),[2]业务报告!AR:AR),0)*$AG$2</f>
        <v>0</v>
      </c>
      <c r="AG14" s="87">
        <f t="shared" si="3"/>
        <v>0</v>
      </c>
      <c r="AH14" s="88">
        <f t="shared" si="4"/>
        <v>0</v>
      </c>
      <c r="AI14" s="116">
        <f t="shared" si="5"/>
        <v>0</v>
      </c>
      <c r="AJ14" s="117">
        <f t="shared" si="6"/>
        <v>0</v>
      </c>
      <c r="AK14" s="122">
        <f t="shared" si="7"/>
        <v>0</v>
      </c>
      <c r="AL14" s="116">
        <f>SUMIFS([2]WT报告!S:S,[2]WT报告!$C:$C,$N14,[2]WT报告!$H:$H,$X$2)</f>
        <v>0</v>
      </c>
      <c r="AM14" s="123">
        <f t="shared" si="8"/>
        <v>0</v>
      </c>
      <c r="AN14" s="124">
        <f>SUMIFS([2]WT报告!N:N,[2]WT报告!$C:$C,$N14,[2]WT报告!$H:$H,$X$2)</f>
        <v>0</v>
      </c>
      <c r="AO14" s="117">
        <f t="shared" si="9"/>
        <v>0</v>
      </c>
      <c r="AP14" s="87">
        <f>SUMIFS([2]WT报告!P:P,[2]WT报告!$C:$C,$N14,[2]WT报告!$H:$H,$X$2)</f>
        <v>0</v>
      </c>
      <c r="AQ14" s="129">
        <f>SUMIFS([2]WT报告!Q:Q,[2]WT报告!$C:$C,$N14,[2]WT报告!$H:$H,$X$2)</f>
        <v>0</v>
      </c>
      <c r="AR14" s="87">
        <f>SUMIFS([2]WT报告!J:J,[2]WT报告!$C:$C,$N14,[2]WT报告!$H:$H,$X$2)</f>
        <v>0</v>
      </c>
      <c r="AS14" s="133">
        <f>SUMIFS([2]WT报告!M:M,[2]WT报告!$C:$C,$N14,[2]WT报告!$H:$H,$X$2)</f>
        <v>0</v>
      </c>
      <c r="AT14" s="134">
        <f t="shared" si="10"/>
        <v>0</v>
      </c>
      <c r="AU14" s="122">
        <f t="shared" si="11"/>
        <v>0</v>
      </c>
      <c r="AV14" s="133">
        <f t="shared" si="12"/>
        <v>0</v>
      </c>
      <c r="AW14" s="123">
        <f t="shared" si="13"/>
        <v>0</v>
      </c>
      <c r="AX14" s="124">
        <f t="shared" si="14"/>
        <v>0</v>
      </c>
      <c r="AY14" s="117">
        <f t="shared" si="15"/>
        <v>0</v>
      </c>
      <c r="AZ14" s="122">
        <f t="shared" si="16"/>
        <v>0</v>
      </c>
      <c r="BA14" s="142">
        <f t="shared" si="17"/>
        <v>0</v>
      </c>
      <c r="BB14" s="122">
        <f t="shared" si="18"/>
        <v>0</v>
      </c>
      <c r="BC14" s="133">
        <f t="shared" si="19"/>
        <v>0</v>
      </c>
      <c r="BD14" s="123">
        <f t="shared" si="20"/>
        <v>0</v>
      </c>
      <c r="BE14" s="150">
        <f t="shared" si="21"/>
        <v>0</v>
      </c>
      <c r="BF14" s="123">
        <f t="shared" si="22"/>
        <v>0</v>
      </c>
      <c r="BG14" s="122">
        <f t="shared" si="23"/>
        <v>0</v>
      </c>
      <c r="BH14" s="122">
        <f>SUMIFS([2]SP!J:J,[2]SP!A:A,N14,[2]SP!H:H,$P$2)+SUMIFS([2]SP!J:J,[2]SP!A:A,N14,[2]SP!H:H,$T$2)</f>
        <v>0</v>
      </c>
      <c r="BI14" s="122">
        <f>SUMIFS([2]SP!K:K,[2]SP!A:A,N14,[2]SP!H:H,$P$2)+SUMIFS([2]SP!K:K,[2]SP!A:A,N14,[2]SP!H:H,$T$2)</f>
        <v>0</v>
      </c>
      <c r="BJ14" s="154">
        <f t="shared" si="24"/>
        <v>0</v>
      </c>
      <c r="BK14" s="124">
        <f t="shared" si="25"/>
        <v>0</v>
      </c>
      <c r="BL14" s="122">
        <f>SUMIFS([2]SP!R:R,[2]SP!A:A,N14,[2]SP!H:H,$P$2)+SUMIFS([2]SP!R:R,[2]SP!A:A,N14,[2]SP!H:H,$T$2)</f>
        <v>0</v>
      </c>
      <c r="BM14" s="124">
        <f>SUMIFS([2]SP!O:O,[2]SP!A:A,$N14,[2]SP!H:H,$P$2)+SUMIFS([2]SP!O:O,[2]SP!A:A,$N14,[2]SP!H:H,$T$2)</f>
        <v>0</v>
      </c>
      <c r="BN14" s="160">
        <f t="shared" si="26"/>
        <v>0</v>
      </c>
      <c r="BO14" s="122">
        <f>SUMIFS([2]SP!N:N,[2]SP!A:A,N14,[2]SP!H:H,$P$2)+SUMIFS([2]SP!N:N,[2]SP!A:A,N14,[2]SP!H:H,$T$2)</f>
        <v>0</v>
      </c>
      <c r="BP14" s="161">
        <f t="shared" si="27"/>
        <v>0</v>
      </c>
      <c r="BQ14" s="122">
        <f>SUMIFS([2]SD!J:J,[2]SD!A:A,N14,[2]SD!H:H,$P$2)+SUMIFS([2]SD!J:J,[2]SD!A:A,N14,[2]SD!H:H,$T$2)</f>
        <v>0</v>
      </c>
      <c r="BR14" s="122">
        <f>SUMIFS([2]SD!L:L,[2]SD!A:A,N14,[2]SD!H:H,$P$2)+SUMIFS([2]SD!L:L,[2]SD!A:A,N14,[2]SD!H:H,$T$2)</f>
        <v>0</v>
      </c>
      <c r="BS14" s="154">
        <f t="shared" si="28"/>
        <v>0</v>
      </c>
      <c r="BT14" s="124">
        <f t="shared" si="29"/>
        <v>0</v>
      </c>
      <c r="BU14" s="122">
        <f>SUMIFS([2]SD!U:U,[2]SD!A:A,N14,[2]SD!H:H,$P$2)+SUMIFS([2]SD!U:U,[2]SD!A:A,N14,[2]SD!H:H,$T$2)</f>
        <v>0</v>
      </c>
      <c r="BV14" s="124">
        <f>SUMIFS([2]SD!V:V,[2]SD!A:A,N14,[2]SD!H:H,$P$2)+SUMIFS([2]SD!V:V,[2]SD!A:A,N14,[2]SD!H:H,$T$2)</f>
        <v>0</v>
      </c>
      <c r="BW14" s="160">
        <f t="shared" si="30"/>
        <v>0</v>
      </c>
      <c r="BX14" s="124">
        <f>SUMIFS([2]SD!O:O,[2]SD!A:A,N14,[2]SD!H:H,$P$2)+SUMIFS([2]SD!O:O,[2]SD!A:A,N14,[2]SD!H:H,$T$2)</f>
        <v>0</v>
      </c>
      <c r="BY14" s="161">
        <f t="shared" si="31"/>
        <v>0</v>
      </c>
      <c r="BZ14" s="122">
        <f>SUMIFS([2]SB!H:H,[2]SB!B:B,N14,[2]SB!A:A,$P$2)+SUMIFS([2]SB!H:H,[2]SB!B:B,N14,[2]SB!A:A,$T$2)</f>
        <v>0</v>
      </c>
      <c r="CA14" s="122">
        <f>SUMIFS([2]SB!I:I,[2]SB!B:B,N14,[2]SB!A:A,$P$2)+SUMIFS([2]SB!I:I,[2]SB!B:B,N14,[2]SB!A:A,$T$2)</f>
        <v>0</v>
      </c>
      <c r="CB14" s="154">
        <f t="shared" si="32"/>
        <v>0</v>
      </c>
      <c r="CC14" s="124">
        <f t="shared" si="33"/>
        <v>0</v>
      </c>
      <c r="CD14" s="122">
        <f>SUMIFS([2]SB!Q:Q,[2]SB!B:B,N14,[2]SB!A:A,$P$2)+SUMIFS([2]SB!Q:Q,[2]SB!B:B,N14,[2]SB!A:A,$T$2)</f>
        <v>0</v>
      </c>
      <c r="CE14" s="124">
        <f>SUMIFS([2]SB!O:O,[2]SB!B:B,N14,[2]SB!A:A,$P$2)+SUMIFS([2]SB!O:O,[2]SB!B:B,N14,[2]SB!A:A,$T$2)</f>
        <v>0</v>
      </c>
      <c r="CF14" s="160">
        <f t="shared" si="34"/>
        <v>0</v>
      </c>
      <c r="CG14" s="124">
        <f>SUMIFS([2]SB!L:L,[2]SB!B:B,N14,[2]SB!A:A,$P$2)+SUMIFS([2]SB!L:L,[2]SB!B:B,N14,[2]SB!A:A,$T$2)</f>
        <v>0</v>
      </c>
      <c r="CH14" s="161">
        <f t="shared" si="35"/>
        <v>0</v>
      </c>
    </row>
    <row r="15" s="1" customFormat="1" hidden="1" spans="1:86">
      <c r="A15" s="17" t="str" cm="1">
        <f t="array" ref="A15">IFERROR(LOOKUP(1,0/(([2]业务报告!$A:$A=$N15)*([2]业务报告!$B:$B=$P$2)),[2]业务报告!AU:AU),"")</f>
        <v/>
      </c>
      <c r="B15" s="17" t="str" cm="1">
        <f t="array" ref="B15">IFERROR(LOOKUP(1,0/(([2]业务报告!$A:$A=$N15)*([2]业务报告!$B:$B=$P$2)),[2]业务报告!AV:AV),"")</f>
        <v/>
      </c>
      <c r="C15" s="20">
        <f>SUMIFS([2]业务报告!AC:AC,[2]业务报告!$A:$A,$N15,[2]业务报告!$B:$B,$P$2)</f>
        <v>0</v>
      </c>
      <c r="D15" s="21">
        <f>SUMIFS([2]业务报告!AD:AD,[2]业务报告!$A:$A,$N15,[2]业务报告!$B:$B,$P$2)</f>
        <v>0</v>
      </c>
      <c r="E15" s="20" t="str" cm="1">
        <f t="array" ref="E15">_xlfn.XLOOKUP($N15&amp;$P$2,[2]业务报告!$A:$A&amp;[2]业务报告!$B:$B,[2]业务报告!AE:AE,"")</f>
        <v/>
      </c>
      <c r="F15" s="28" cm="1">
        <f t="array" ref="F15">IFERROR(LOOKUP(1,0/(([2]业务报告!$A:$A=$N15)*([2]业务报告!$B:$B=$P$2)),[2]业务报告!AK:AK),0)</f>
        <v>0</v>
      </c>
      <c r="G15" s="29">
        <f>SUMIFS([2]业务报告!AF:AF,[2]业务报告!$A:$A,$N15,[2]业务报告!$B:$B,$P$2)</f>
        <v>0</v>
      </c>
      <c r="H15" s="30" cm="1">
        <f t="array" ref="H15">IFERROR(LOOKUP(1,0/(([2]业务报告!$A:$A=$N15)*([2]业务报告!B:B=$P$2)),[2]业务报告!AG:AG),0)</f>
        <v>0</v>
      </c>
      <c r="I15" s="30" cm="1">
        <f t="array" ref="I15">IFERROR(LOOKUP(1,0/(([2]业务报告!$A:$A=$N15)*([2]业务报告!$B:$B=$P$2)),[2]业务报告!AH:AH),0)</f>
        <v>0</v>
      </c>
      <c r="J15" s="30">
        <f>SUMIFS([2]WT报告!A:A,[2]WT报告!$C:$C,$N15,[2]WT报告!$H:$H,$X$2)</f>
        <v>0</v>
      </c>
      <c r="K15" s="28" cm="1">
        <f t="array" ref="K15">IFERROR(LOOKUP(1,0/(([2]业务报告!$A:$A=$N15)*([2]业务报告!$B:$B=$P$2)),[2]业务报告!AI:AI),0)</f>
        <v>0</v>
      </c>
      <c r="L15" s="28" cm="1">
        <f t="array" ref="L15">IFERROR(LOOKUP(1,0/(([2]业务报告!$A:$A=$N15)*([2]业务报告!$B:$B=$P$2)),[2]业务报告!AJ:AJ),0)</f>
        <v>0</v>
      </c>
      <c r="M15" s="49" t="str">
        <f t="shared" si="0"/>
        <v>周4</v>
      </c>
      <c r="N15" s="50">
        <f>DATE($O$1,$O$2,DAY(N14)+1)</f>
        <v>45911</v>
      </c>
      <c r="O15" s="51">
        <f>SUMIFS([2]业务报告!G:G,[2]业务报告!$A:$A,$N15,[2]业务报告!$B:$B,$P$2)+SUMIFS([2]业务报告!G:G,[2]业务报告!$A:$A,$N15,[2]业务报告!$B:$B,$T$2)</f>
        <v>0</v>
      </c>
      <c r="P15" s="51">
        <f>SUMIFS([2]业务报告!H:H,[2]业务报告!$A:$A,$N15,[2]业务报告!$B:$B,$P$2)+SUMIFS([2]业务报告!H:H,[2]业务报告!$A:$A,$N15,[2]业务报告!$B:$B,$T$2)</f>
        <v>0</v>
      </c>
      <c r="Q15" s="51">
        <f>SUMIFS([2]业务报告!I:I,[2]业务报告!$A:$A,$N15,[2]业务报告!$B:$B,$P$2)+SUMIFS([2]业务报告!I:I,[2]业务报告!$A:$A,$N15,[2]业务报告!$B:$B,$T$2)</f>
        <v>0</v>
      </c>
      <c r="R15" s="51">
        <f>SUMIFS([2]业务报告!T:T,[2]业务报告!$A:$A,$N15,[2]业务报告!$B:$B,$P$2)+SUMIFS([2]业务报告!T:T,[2]业务报告!$A:$A,$N15,[2]业务报告!$B:$B,$T$2)</f>
        <v>0</v>
      </c>
      <c r="S15" s="65">
        <f t="shared" si="1"/>
        <v>0</v>
      </c>
      <c r="T15" s="66">
        <f>SUMIFS([2]业务报告!X:X,[2]业务报告!$A:$A,$N15,[2]业务报告!$B:$B,$P$2)+SUMIFS([2]业务报告!X:X,[2]业务报告!$A:$A,$N15,[2]业务报告!$B:$B,$T$2)</f>
        <v>0</v>
      </c>
      <c r="U15" s="28">
        <f>SUMIFS([2]业务报告!AO:AO,[2]业务报告!$A:$A,$N15,[2]业务报告!$B:$B,$P$2)+SUMIFS([2]业务报告!AP:AP,[2]业务报告!$A:$A,$N15,[2]业务报告!$B:$B,$P$2)</f>
        <v>0</v>
      </c>
      <c r="V15" s="73">
        <f>SUMIFS([2]WT报告!I:I,[2]WT报告!$C:$C,$N15,[2]WT报告!$H:$H,$X$2)</f>
        <v>0</v>
      </c>
      <c r="W15" s="66">
        <f>SUMIFS([2]WT报告!Z:Z,[2]WT报告!$C:$C,$N15,[2]WT报告!$H:$H,$X$2)</f>
        <v>0</v>
      </c>
      <c r="X15" s="73">
        <f>SUMIFS([2]业务报告!AS:AS,[2]业务报告!$A:$A,$N15,[2]业务报告!$B:$B,$P$2)+SUMIFS([2]业务报告!AS:AS,[2]业务报告!$A:$A,$N15,[2]业务报告!$B:$B,$T$2)+V15</f>
        <v>0</v>
      </c>
      <c r="Y15" s="85">
        <f>SUMIFS([2]业务报告!AO:AO,[2]业务报告!$A:$A,$N15,[2]业务报告!$B:$B,$P$2)*SUMIFS([2]业务报告!AM:AM,[2]业务报告!$A:$A,$N15,[2]业务报告!$B:$B,$P$2)/$AC$2+SUMIFS([2]业务报告!AP:AP,[2]业务报告!$A:$A,$N15,[2]业务报告!$B:$B,$P$2)*SUMIFS([2]业务报告!AN:AN,[2]业务报告!$A:$A,$N15,[2]业务报告!$B:$B,$P$2)/$AC$2</f>
        <v>0</v>
      </c>
      <c r="Z15" s="86">
        <f>(I15*(1-$AD$2-4%-10%)-$AD$1-$AC$1/$AC$2)*BB15-BC15</f>
        <v>0</v>
      </c>
      <c r="AA15" s="87">
        <f>(I15*(1-$AD$2-4%-10%)-$AD$1-$AC$1/$AC$2)*(R15-IF(R15&gt;V15,SUMIFS([2]业务报告!AO:AO,[2]业务报告!$A:$A,$N15,[2]业务报告!$B:$B,$P$2),0))-BC15</f>
        <v>0</v>
      </c>
      <c r="AB15" s="88">
        <f t="shared" si="2"/>
        <v>0</v>
      </c>
      <c r="AC15" s="86">
        <f>AR15*(J15-$AC$1/$AC$2-J15*4%)-AS15</f>
        <v>0</v>
      </c>
      <c r="AD15" s="87">
        <f>(V15-IF(R15&lt;V15,SUMIFS([2]业务报告!AO:AO,[2]业务报告!$A:$A,$N15,[2]业务报告!$B:$B,$P$2),0))*(J15-$AC$1/$AC$2-J15*4%)-AS15</f>
        <v>0</v>
      </c>
      <c r="AE15" s="87" cm="1">
        <f t="array" ref="AE15">IFERROR(LOOKUP(1,0/(([2]业务报告!$A:$A=$N15)*([2]业务报告!$B:$B=$P$2)),[2]业务报告!AQ:AQ),0)*$AH$2</f>
        <v>0</v>
      </c>
      <c r="AF15" s="87" cm="1">
        <f t="array" ref="AF15">IFERROR(LOOKUP(1,0/(([2]业务报告!$A:$A=$N15)*([2]业务报告!$B:$B=$P$2)),[2]业务报告!AR:AR),0)*$AG$2</f>
        <v>0</v>
      </c>
      <c r="AG15" s="87">
        <f t="shared" si="3"/>
        <v>0</v>
      </c>
      <c r="AH15" s="88">
        <f t="shared" si="4"/>
        <v>0</v>
      </c>
      <c r="AI15" s="116">
        <f t="shared" si="5"/>
        <v>0</v>
      </c>
      <c r="AJ15" s="117">
        <f t="shared" si="6"/>
        <v>0</v>
      </c>
      <c r="AK15" s="122">
        <f t="shared" si="7"/>
        <v>0</v>
      </c>
      <c r="AL15" s="116">
        <f>SUMIFS([2]WT报告!S:S,[2]WT报告!$C:$C,$N15,[2]WT报告!$H:$H,$X$2)</f>
        <v>0</v>
      </c>
      <c r="AM15" s="123">
        <f t="shared" si="8"/>
        <v>0</v>
      </c>
      <c r="AN15" s="124">
        <f>SUMIFS([2]WT报告!N:N,[2]WT报告!$C:$C,$N15,[2]WT报告!$H:$H,$X$2)</f>
        <v>0</v>
      </c>
      <c r="AO15" s="117">
        <f t="shared" si="9"/>
        <v>0</v>
      </c>
      <c r="AP15" s="87">
        <f>SUMIFS([2]WT报告!P:P,[2]WT报告!$C:$C,$N15,[2]WT报告!$H:$H,$X$2)</f>
        <v>0</v>
      </c>
      <c r="AQ15" s="129">
        <f>SUMIFS([2]WT报告!Q:Q,[2]WT报告!$C:$C,$N15,[2]WT报告!$H:$H,$X$2)</f>
        <v>0</v>
      </c>
      <c r="AR15" s="87">
        <f>SUMIFS([2]WT报告!J:J,[2]WT报告!$C:$C,$N15,[2]WT报告!$H:$H,$X$2)</f>
        <v>0</v>
      </c>
      <c r="AS15" s="133">
        <f>SUMIFS([2]WT报告!M:M,[2]WT报告!$C:$C,$N15,[2]WT报告!$H:$H,$X$2)</f>
        <v>0</v>
      </c>
      <c r="AT15" s="134">
        <f t="shared" si="10"/>
        <v>0</v>
      </c>
      <c r="AU15" s="122">
        <f t="shared" si="11"/>
        <v>0</v>
      </c>
      <c r="AV15" s="133">
        <f t="shared" si="12"/>
        <v>0</v>
      </c>
      <c r="AW15" s="123">
        <f t="shared" si="13"/>
        <v>0</v>
      </c>
      <c r="AX15" s="124">
        <f t="shared" si="14"/>
        <v>0</v>
      </c>
      <c r="AY15" s="117">
        <f t="shared" si="15"/>
        <v>0</v>
      </c>
      <c r="AZ15" s="122">
        <f t="shared" si="16"/>
        <v>0</v>
      </c>
      <c r="BA15" s="142">
        <f t="shared" si="17"/>
        <v>0</v>
      </c>
      <c r="BB15" s="122">
        <f t="shared" si="18"/>
        <v>0</v>
      </c>
      <c r="BC15" s="133">
        <f t="shared" si="19"/>
        <v>0</v>
      </c>
      <c r="BD15" s="123">
        <f t="shared" si="20"/>
        <v>0</v>
      </c>
      <c r="BE15" s="150">
        <f t="shared" si="21"/>
        <v>0</v>
      </c>
      <c r="BF15" s="123">
        <f t="shared" si="22"/>
        <v>0</v>
      </c>
      <c r="BG15" s="122">
        <f t="shared" si="23"/>
        <v>0</v>
      </c>
      <c r="BH15" s="122">
        <f>SUMIFS([2]SP!J:J,[2]SP!A:A,N15,[2]SP!H:H,$P$2)+SUMIFS([2]SP!J:J,[2]SP!A:A,N15,[2]SP!H:H,$T$2)</f>
        <v>0</v>
      </c>
      <c r="BI15" s="122">
        <f>SUMIFS([2]SP!K:K,[2]SP!A:A,N15,[2]SP!H:H,$P$2)+SUMIFS([2]SP!K:K,[2]SP!A:A,N15,[2]SP!H:H,$T$2)</f>
        <v>0</v>
      </c>
      <c r="BJ15" s="154">
        <f t="shared" si="24"/>
        <v>0</v>
      </c>
      <c r="BK15" s="124">
        <f t="shared" si="25"/>
        <v>0</v>
      </c>
      <c r="BL15" s="122">
        <f>SUMIFS([2]SP!R:R,[2]SP!A:A,N15,[2]SP!H:H,$P$2)+SUMIFS([2]SP!R:R,[2]SP!A:A,N15,[2]SP!H:H,$T$2)</f>
        <v>0</v>
      </c>
      <c r="BM15" s="124">
        <f>SUMIFS([2]SP!O:O,[2]SP!A:A,$N15,[2]SP!H:H,$P$2)+SUMIFS([2]SP!O:O,[2]SP!A:A,$N15,[2]SP!H:H,$T$2)</f>
        <v>0</v>
      </c>
      <c r="BN15" s="160">
        <f t="shared" si="26"/>
        <v>0</v>
      </c>
      <c r="BO15" s="122">
        <f>SUMIFS([2]SP!N:N,[2]SP!A:A,N15,[2]SP!H:H,$P$2)+SUMIFS([2]SP!N:N,[2]SP!A:A,N15,[2]SP!H:H,$T$2)</f>
        <v>0</v>
      </c>
      <c r="BP15" s="161">
        <f t="shared" si="27"/>
        <v>0</v>
      </c>
      <c r="BQ15" s="122">
        <f>SUMIFS([2]SD!J:J,[2]SD!A:A,N15,[2]SD!H:H,$P$2)+SUMIFS([2]SD!J:J,[2]SD!A:A,N15,[2]SD!H:H,$T$2)</f>
        <v>0</v>
      </c>
      <c r="BR15" s="122">
        <f>SUMIFS([2]SD!L:L,[2]SD!A:A,N15,[2]SD!H:H,$P$2)+SUMIFS([2]SD!L:L,[2]SD!A:A,N15,[2]SD!H:H,$T$2)</f>
        <v>0</v>
      </c>
      <c r="BS15" s="154">
        <f t="shared" si="28"/>
        <v>0</v>
      </c>
      <c r="BT15" s="124">
        <f t="shared" si="29"/>
        <v>0</v>
      </c>
      <c r="BU15" s="122">
        <f>SUMIFS([2]SD!U:U,[2]SD!A:A,N15,[2]SD!H:H,$P$2)+SUMIFS([2]SD!U:U,[2]SD!A:A,N15,[2]SD!H:H,$T$2)</f>
        <v>0</v>
      </c>
      <c r="BV15" s="124">
        <f>SUMIFS([2]SD!V:V,[2]SD!A:A,N15,[2]SD!H:H,$P$2)+SUMIFS([2]SD!V:V,[2]SD!A:A,N15,[2]SD!H:H,$T$2)</f>
        <v>0</v>
      </c>
      <c r="BW15" s="160">
        <f t="shared" si="30"/>
        <v>0</v>
      </c>
      <c r="BX15" s="124">
        <f>SUMIFS([2]SD!O:O,[2]SD!A:A,N15,[2]SD!H:H,$P$2)+SUMIFS([2]SD!O:O,[2]SD!A:A,N15,[2]SD!H:H,$T$2)</f>
        <v>0</v>
      </c>
      <c r="BY15" s="161">
        <f t="shared" si="31"/>
        <v>0</v>
      </c>
      <c r="BZ15" s="122">
        <f>SUMIFS([2]SB!H:H,[2]SB!B:B,N15,[2]SB!A:A,$P$2)+SUMIFS([2]SB!H:H,[2]SB!B:B,N15,[2]SB!A:A,$T$2)</f>
        <v>0</v>
      </c>
      <c r="CA15" s="122">
        <f>SUMIFS([2]SB!I:I,[2]SB!B:B,N15,[2]SB!A:A,$P$2)+SUMIFS([2]SB!I:I,[2]SB!B:B,N15,[2]SB!A:A,$T$2)</f>
        <v>0</v>
      </c>
      <c r="CB15" s="154">
        <f t="shared" si="32"/>
        <v>0</v>
      </c>
      <c r="CC15" s="124">
        <f t="shared" si="33"/>
        <v>0</v>
      </c>
      <c r="CD15" s="122">
        <f>SUMIFS([2]SB!Q:Q,[2]SB!B:B,N15,[2]SB!A:A,$P$2)+SUMIFS([2]SB!Q:Q,[2]SB!B:B,N15,[2]SB!A:A,$T$2)</f>
        <v>0</v>
      </c>
      <c r="CE15" s="124">
        <f>SUMIFS([2]SB!O:O,[2]SB!B:B,N15,[2]SB!A:A,$P$2)+SUMIFS([2]SB!O:O,[2]SB!B:B,N15,[2]SB!A:A,$T$2)</f>
        <v>0</v>
      </c>
      <c r="CF15" s="160">
        <f t="shared" si="34"/>
        <v>0</v>
      </c>
      <c r="CG15" s="124">
        <f>SUMIFS([2]SB!L:L,[2]SB!B:B,N15,[2]SB!A:A,$P$2)+SUMIFS([2]SB!L:L,[2]SB!B:B,N15,[2]SB!A:A,$T$2)</f>
        <v>0</v>
      </c>
      <c r="CH15" s="161">
        <f t="shared" si="35"/>
        <v>0</v>
      </c>
    </row>
    <row r="16" s="1" customFormat="1" hidden="1" spans="1:86">
      <c r="A16" s="17" t="str" cm="1">
        <f t="array" ref="A16">IFERROR(LOOKUP(1,0/(([2]业务报告!$A:$A=$N16)*([2]业务报告!$B:$B=$P$2)),[2]业务报告!AU:AU),"")</f>
        <v/>
      </c>
      <c r="B16" s="17" t="str" cm="1">
        <f t="array" ref="B16">IFERROR(LOOKUP(1,0/(([2]业务报告!$A:$A=$N16)*([2]业务报告!$B:$B=$P$2)),[2]业务报告!AV:AV),"")</f>
        <v/>
      </c>
      <c r="C16" s="20">
        <f>SUMIFS([2]业务报告!AC:AC,[2]业务报告!$A:$A,$N16,[2]业务报告!$B:$B,$P$2)</f>
        <v>0</v>
      </c>
      <c r="D16" s="21">
        <f>SUMIFS([2]业务报告!AD:AD,[2]业务报告!$A:$A,$N16,[2]业务报告!$B:$B,$P$2)</f>
        <v>0</v>
      </c>
      <c r="E16" s="20" t="str" cm="1">
        <f t="array" ref="E16">_xlfn.XLOOKUP($N16&amp;$P$2,[2]业务报告!$A:$A&amp;[2]业务报告!$B:$B,[2]业务报告!AE:AE,"")</f>
        <v/>
      </c>
      <c r="F16" s="28" cm="1">
        <f t="array" ref="F16">IFERROR(LOOKUP(1,0/(([2]业务报告!$A:$A=$N16)*([2]业务报告!$B:$B=$P$2)),[2]业务报告!AK:AK),0)</f>
        <v>0</v>
      </c>
      <c r="G16" s="29">
        <f>SUMIFS([2]业务报告!AF:AF,[2]业务报告!$A:$A,$N16,[2]业务报告!$B:$B,$P$2)</f>
        <v>0</v>
      </c>
      <c r="H16" s="30" cm="1">
        <f t="array" ref="H16">IFERROR(LOOKUP(1,0/(([2]业务报告!$A:$A=$N16)*([2]业务报告!B:B=$P$2)),[2]业务报告!AG:AG),0)</f>
        <v>0</v>
      </c>
      <c r="I16" s="30" cm="1">
        <f t="array" ref="I16">IFERROR(LOOKUP(1,0/(([2]业务报告!$A:$A=$N16)*([2]业务报告!$B:$B=$P$2)),[2]业务报告!AH:AH),0)</f>
        <v>0</v>
      </c>
      <c r="J16" s="30">
        <f>SUMIFS([2]WT报告!A:A,[2]WT报告!$C:$C,$N16,[2]WT报告!$H:$H,$X$2)</f>
        <v>0</v>
      </c>
      <c r="K16" s="28" cm="1">
        <f t="array" ref="K16">IFERROR(LOOKUP(1,0/(([2]业务报告!$A:$A=$N16)*([2]业务报告!$B:$B=$P$2)),[2]业务报告!AI:AI),0)</f>
        <v>0</v>
      </c>
      <c r="L16" s="28" cm="1">
        <f t="array" ref="L16">IFERROR(LOOKUP(1,0/(([2]业务报告!$A:$A=$N16)*([2]业务报告!$B:$B=$P$2)),[2]业务报告!AJ:AJ),0)</f>
        <v>0</v>
      </c>
      <c r="M16" s="49" t="str">
        <f t="shared" si="0"/>
        <v>周5</v>
      </c>
      <c r="N16" s="50">
        <f>DATE($O$1,$O$2,DAY(N15)+1)</f>
        <v>45912</v>
      </c>
      <c r="O16" s="51">
        <f>SUMIFS([2]业务报告!G:G,[2]业务报告!$A:$A,$N16,[2]业务报告!$B:$B,$P$2)+SUMIFS([2]业务报告!G:G,[2]业务报告!$A:$A,$N16,[2]业务报告!$B:$B,$T$2)</f>
        <v>0</v>
      </c>
      <c r="P16" s="51">
        <f>SUMIFS([2]业务报告!H:H,[2]业务报告!$A:$A,$N16,[2]业务报告!$B:$B,$P$2)+SUMIFS([2]业务报告!H:H,[2]业务报告!$A:$A,$N16,[2]业务报告!$B:$B,$T$2)</f>
        <v>0</v>
      </c>
      <c r="Q16" s="51">
        <f>SUMIFS([2]业务报告!I:I,[2]业务报告!$A:$A,$N16,[2]业务报告!$B:$B,$P$2)+SUMIFS([2]业务报告!I:I,[2]业务报告!$A:$A,$N16,[2]业务报告!$B:$B,$T$2)</f>
        <v>0</v>
      </c>
      <c r="R16" s="51">
        <f>SUMIFS([2]业务报告!T:T,[2]业务报告!$A:$A,$N16,[2]业务报告!$B:$B,$P$2)+SUMIFS([2]业务报告!T:T,[2]业务报告!$A:$A,$N16,[2]业务报告!$B:$B,$T$2)</f>
        <v>0</v>
      </c>
      <c r="S16" s="65">
        <f t="shared" si="1"/>
        <v>0</v>
      </c>
      <c r="T16" s="66">
        <f>SUMIFS([2]业务报告!X:X,[2]业务报告!$A:$A,$N16,[2]业务报告!$B:$B,$P$2)+SUMIFS([2]业务报告!X:X,[2]业务报告!$A:$A,$N16,[2]业务报告!$B:$B,$T$2)</f>
        <v>0</v>
      </c>
      <c r="U16" s="28">
        <f>SUMIFS([2]业务报告!AO:AO,[2]业务报告!$A:$A,$N16,[2]业务报告!$B:$B,$P$2)+SUMIFS([2]业务报告!AP:AP,[2]业务报告!$A:$A,$N16,[2]业务报告!$B:$B,$P$2)</f>
        <v>0</v>
      </c>
      <c r="V16" s="73">
        <f>SUMIFS([2]WT报告!I:I,[2]WT报告!$C:$C,$N16,[2]WT报告!$H:$H,$X$2)</f>
        <v>0</v>
      </c>
      <c r="W16" s="66">
        <f>SUMIFS([2]WT报告!Z:Z,[2]WT报告!$C:$C,$N16,[2]WT报告!$H:$H,$X$2)</f>
        <v>0</v>
      </c>
      <c r="X16" s="73">
        <f>SUMIFS([2]业务报告!AS:AS,[2]业务报告!$A:$A,$N16,[2]业务报告!$B:$B,$P$2)+SUMIFS([2]业务报告!AS:AS,[2]业务报告!$A:$A,$N16,[2]业务报告!$B:$B,$T$2)+V16</f>
        <v>0</v>
      </c>
      <c r="Y16" s="85">
        <f>SUMIFS([2]业务报告!AO:AO,[2]业务报告!$A:$A,$N16,[2]业务报告!$B:$B,$P$2)*SUMIFS([2]业务报告!AM:AM,[2]业务报告!$A:$A,$N16,[2]业务报告!$B:$B,$P$2)/$AC$2+SUMIFS([2]业务报告!AP:AP,[2]业务报告!$A:$A,$N16,[2]业务报告!$B:$B,$P$2)*SUMIFS([2]业务报告!AN:AN,[2]业务报告!$A:$A,$N16,[2]业务报告!$B:$B,$P$2)/$AC$2</f>
        <v>0</v>
      </c>
      <c r="Z16" s="86">
        <f>(I16*(1-$AD$2-4%-10%)-$AD$1-$AC$1/$AC$2)*BB16-BC16</f>
        <v>0</v>
      </c>
      <c r="AA16" s="87">
        <f>(I16*(1-$AD$2-4%-10%)-$AD$1-$AC$1/$AC$2)*(R16-IF(R16&gt;V16,SUMIFS([2]业务报告!AO:AO,[2]业务报告!$A:$A,$N16,[2]业务报告!$B:$B,$P$2),0))-BC16</f>
        <v>0</v>
      </c>
      <c r="AB16" s="88">
        <f t="shared" si="2"/>
        <v>0</v>
      </c>
      <c r="AC16" s="86">
        <f>AR16*(J16-$AC$1/$AC$2-J16*4%)-AS16</f>
        <v>0</v>
      </c>
      <c r="AD16" s="87">
        <f>(V16-IF(R16&lt;V16,SUMIFS([2]业务报告!AO:AO,[2]业务报告!$A:$A,$N16,[2]业务报告!$B:$B,$P$2),0))*(J16-$AC$1/$AC$2-J16*4%)-AS16</f>
        <v>0</v>
      </c>
      <c r="AE16" s="87" cm="1">
        <f t="array" ref="AE16">IFERROR(LOOKUP(1,0/(([2]业务报告!$A:$A=$N16)*([2]业务报告!$B:$B=$P$2)),[2]业务报告!AQ:AQ),0)*$AH$2</f>
        <v>0</v>
      </c>
      <c r="AF16" s="87" cm="1">
        <f t="array" ref="AF16">IFERROR(LOOKUP(1,0/(([2]业务报告!$A:$A=$N16)*([2]业务报告!$B:$B=$P$2)),[2]业务报告!AR:AR),0)*$AG$2</f>
        <v>0</v>
      </c>
      <c r="AG16" s="87">
        <f t="shared" si="3"/>
        <v>0</v>
      </c>
      <c r="AH16" s="88">
        <f t="shared" si="4"/>
        <v>0</v>
      </c>
      <c r="AI16" s="116">
        <f t="shared" si="5"/>
        <v>0</v>
      </c>
      <c r="AJ16" s="117">
        <f t="shared" si="6"/>
        <v>0</v>
      </c>
      <c r="AK16" s="122">
        <f t="shared" si="7"/>
        <v>0</v>
      </c>
      <c r="AL16" s="116">
        <f>SUMIFS([2]WT报告!S:S,[2]WT报告!$C:$C,$N16,[2]WT报告!$H:$H,$X$2)</f>
        <v>0</v>
      </c>
      <c r="AM16" s="123">
        <f t="shared" si="8"/>
        <v>0</v>
      </c>
      <c r="AN16" s="124">
        <f>SUMIFS([2]WT报告!N:N,[2]WT报告!$C:$C,$N16,[2]WT报告!$H:$H,$X$2)</f>
        <v>0</v>
      </c>
      <c r="AO16" s="117">
        <f t="shared" si="9"/>
        <v>0</v>
      </c>
      <c r="AP16" s="87">
        <f>SUMIFS([2]WT报告!P:P,[2]WT报告!$C:$C,$N16,[2]WT报告!$H:$H,$X$2)</f>
        <v>0</v>
      </c>
      <c r="AQ16" s="129">
        <f>SUMIFS([2]WT报告!Q:Q,[2]WT报告!$C:$C,$N16,[2]WT报告!$H:$H,$X$2)</f>
        <v>0</v>
      </c>
      <c r="AR16" s="87">
        <f>SUMIFS([2]WT报告!J:J,[2]WT报告!$C:$C,$N16,[2]WT报告!$H:$H,$X$2)</f>
        <v>0</v>
      </c>
      <c r="AS16" s="133">
        <f>SUMIFS([2]WT报告!M:M,[2]WT报告!$C:$C,$N16,[2]WT报告!$H:$H,$X$2)</f>
        <v>0</v>
      </c>
      <c r="AT16" s="134">
        <f t="shared" si="10"/>
        <v>0</v>
      </c>
      <c r="AU16" s="122">
        <f t="shared" si="11"/>
        <v>0</v>
      </c>
      <c r="AV16" s="133">
        <f t="shared" si="12"/>
        <v>0</v>
      </c>
      <c r="AW16" s="123">
        <f t="shared" si="13"/>
        <v>0</v>
      </c>
      <c r="AX16" s="124">
        <f t="shared" si="14"/>
        <v>0</v>
      </c>
      <c r="AY16" s="117">
        <f t="shared" si="15"/>
        <v>0</v>
      </c>
      <c r="AZ16" s="122">
        <f t="shared" si="16"/>
        <v>0</v>
      </c>
      <c r="BA16" s="142">
        <f t="shared" si="17"/>
        <v>0</v>
      </c>
      <c r="BB16" s="122">
        <f t="shared" si="18"/>
        <v>0</v>
      </c>
      <c r="BC16" s="133">
        <f t="shared" si="19"/>
        <v>0</v>
      </c>
      <c r="BD16" s="123">
        <f t="shared" si="20"/>
        <v>0</v>
      </c>
      <c r="BE16" s="150">
        <f t="shared" si="21"/>
        <v>0</v>
      </c>
      <c r="BF16" s="123">
        <f t="shared" si="22"/>
        <v>0</v>
      </c>
      <c r="BG16" s="122">
        <f t="shared" si="23"/>
        <v>0</v>
      </c>
      <c r="BH16" s="122">
        <f>SUMIFS([2]SP!J:J,[2]SP!A:A,N16,[2]SP!H:H,$P$2)+SUMIFS([2]SP!J:J,[2]SP!A:A,N16,[2]SP!H:H,$T$2)</f>
        <v>0</v>
      </c>
      <c r="BI16" s="122">
        <f>SUMIFS([2]SP!K:K,[2]SP!A:A,N16,[2]SP!H:H,$P$2)+SUMIFS([2]SP!K:K,[2]SP!A:A,N16,[2]SP!H:H,$T$2)</f>
        <v>0</v>
      </c>
      <c r="BJ16" s="154">
        <f t="shared" si="24"/>
        <v>0</v>
      </c>
      <c r="BK16" s="124">
        <f t="shared" si="25"/>
        <v>0</v>
      </c>
      <c r="BL16" s="122">
        <f>SUMIFS([2]SP!R:R,[2]SP!A:A,N16,[2]SP!H:H,$P$2)+SUMIFS([2]SP!R:R,[2]SP!A:A,N16,[2]SP!H:H,$T$2)</f>
        <v>0</v>
      </c>
      <c r="BM16" s="124">
        <f>SUMIFS([2]SP!O:O,[2]SP!A:A,$N16,[2]SP!H:H,$P$2)+SUMIFS([2]SP!O:O,[2]SP!A:A,$N16,[2]SP!H:H,$T$2)</f>
        <v>0</v>
      </c>
      <c r="BN16" s="160">
        <f t="shared" si="26"/>
        <v>0</v>
      </c>
      <c r="BO16" s="122">
        <f>SUMIFS([2]SP!N:N,[2]SP!A:A,N16,[2]SP!H:H,$P$2)+SUMIFS([2]SP!N:N,[2]SP!A:A,N16,[2]SP!H:H,$T$2)</f>
        <v>0</v>
      </c>
      <c r="BP16" s="161">
        <f t="shared" si="27"/>
        <v>0</v>
      </c>
      <c r="BQ16" s="122">
        <f>SUMIFS([2]SD!J:J,[2]SD!A:A,N16,[2]SD!H:H,$P$2)+SUMIFS([2]SD!J:J,[2]SD!A:A,N16,[2]SD!H:H,$T$2)</f>
        <v>0</v>
      </c>
      <c r="BR16" s="122">
        <f>SUMIFS([2]SD!L:L,[2]SD!A:A,N16,[2]SD!H:H,$P$2)+SUMIFS([2]SD!L:L,[2]SD!A:A,N16,[2]SD!H:H,$T$2)</f>
        <v>0</v>
      </c>
      <c r="BS16" s="154">
        <f t="shared" si="28"/>
        <v>0</v>
      </c>
      <c r="BT16" s="124">
        <f t="shared" si="29"/>
        <v>0</v>
      </c>
      <c r="BU16" s="122">
        <f>SUMIFS([2]SD!U:U,[2]SD!A:A,N16,[2]SD!H:H,$P$2)+SUMIFS([2]SD!U:U,[2]SD!A:A,N16,[2]SD!H:H,$T$2)</f>
        <v>0</v>
      </c>
      <c r="BV16" s="124">
        <f>SUMIFS([2]SD!V:V,[2]SD!A:A,N16,[2]SD!H:H,$P$2)+SUMIFS([2]SD!V:V,[2]SD!A:A,N16,[2]SD!H:H,$T$2)</f>
        <v>0</v>
      </c>
      <c r="BW16" s="160">
        <f t="shared" si="30"/>
        <v>0</v>
      </c>
      <c r="BX16" s="124">
        <f>SUMIFS([2]SD!O:O,[2]SD!A:A,N16,[2]SD!H:H,$P$2)+SUMIFS([2]SD!O:O,[2]SD!A:A,N16,[2]SD!H:H,$T$2)</f>
        <v>0</v>
      </c>
      <c r="BY16" s="161">
        <f t="shared" si="31"/>
        <v>0</v>
      </c>
      <c r="BZ16" s="122">
        <f>SUMIFS([2]SB!H:H,[2]SB!B:B,N16,[2]SB!A:A,$P$2)+SUMIFS([2]SB!H:H,[2]SB!B:B,N16,[2]SB!A:A,$T$2)</f>
        <v>0</v>
      </c>
      <c r="CA16" s="122">
        <f>SUMIFS([2]SB!I:I,[2]SB!B:B,N16,[2]SB!A:A,$P$2)+SUMIFS([2]SB!I:I,[2]SB!B:B,N16,[2]SB!A:A,$T$2)</f>
        <v>0</v>
      </c>
      <c r="CB16" s="154">
        <f t="shared" si="32"/>
        <v>0</v>
      </c>
      <c r="CC16" s="124">
        <f t="shared" si="33"/>
        <v>0</v>
      </c>
      <c r="CD16" s="122">
        <f>SUMIFS([2]SB!Q:Q,[2]SB!B:B,N16,[2]SB!A:A,$P$2)+SUMIFS([2]SB!Q:Q,[2]SB!B:B,N16,[2]SB!A:A,$T$2)</f>
        <v>0</v>
      </c>
      <c r="CE16" s="124">
        <f>SUMIFS([2]SB!O:O,[2]SB!B:B,N16,[2]SB!A:A,$P$2)+SUMIFS([2]SB!O:O,[2]SB!B:B,N16,[2]SB!A:A,$T$2)</f>
        <v>0</v>
      </c>
      <c r="CF16" s="160">
        <f t="shared" si="34"/>
        <v>0</v>
      </c>
      <c r="CG16" s="124">
        <f>SUMIFS([2]SB!L:L,[2]SB!B:B,N16,[2]SB!A:A,$P$2)+SUMIFS([2]SB!L:L,[2]SB!B:B,N16,[2]SB!A:A,$T$2)</f>
        <v>0</v>
      </c>
      <c r="CH16" s="161">
        <f t="shared" si="35"/>
        <v>0</v>
      </c>
    </row>
    <row r="17" s="1" customFormat="1" hidden="1" spans="1:86">
      <c r="A17" s="17" t="str" cm="1">
        <f t="array" ref="A17">IFERROR(LOOKUP(1,0/(([2]业务报告!$A:$A=$N17)*([2]业务报告!$B:$B=$P$2)),[2]业务报告!AU:AU),"")</f>
        <v/>
      </c>
      <c r="B17" s="17" t="str" cm="1">
        <f t="array" ref="B17">IFERROR(LOOKUP(1,0/(([2]业务报告!$A:$A=$N17)*([2]业务报告!$B:$B=$P$2)),[2]业务报告!AV:AV),"")</f>
        <v/>
      </c>
      <c r="C17" s="20">
        <f>SUMIFS([2]业务报告!AC:AC,[2]业务报告!$A:$A,$N17,[2]业务报告!$B:$B,$P$2)</f>
        <v>0</v>
      </c>
      <c r="D17" s="21">
        <f>SUMIFS([2]业务报告!AD:AD,[2]业务报告!$A:$A,$N17,[2]业务报告!$B:$B,$P$2)</f>
        <v>0</v>
      </c>
      <c r="E17" s="20" t="str" cm="1">
        <f t="array" ref="E17">_xlfn.XLOOKUP($N17&amp;$P$2,[2]业务报告!$A:$A&amp;[2]业务报告!$B:$B,[2]业务报告!AE:AE,"")</f>
        <v/>
      </c>
      <c r="F17" s="28" cm="1">
        <f t="array" ref="F17">IFERROR(LOOKUP(1,0/(([2]业务报告!$A:$A=$N17)*([2]业务报告!$B:$B=$P$2)),[2]业务报告!AK:AK),0)</f>
        <v>0</v>
      </c>
      <c r="G17" s="29">
        <f>SUMIFS([2]业务报告!AF:AF,[2]业务报告!$A:$A,$N17,[2]业务报告!$B:$B,$P$2)</f>
        <v>0</v>
      </c>
      <c r="H17" s="30" cm="1">
        <f t="array" ref="H17">IFERROR(LOOKUP(1,0/(([2]业务报告!$A:$A=$N17)*([2]业务报告!B:B=$P$2)),[2]业务报告!AG:AG),0)</f>
        <v>0</v>
      </c>
      <c r="I17" s="30" cm="1">
        <f t="array" ref="I17">IFERROR(LOOKUP(1,0/(([2]业务报告!$A:$A=$N17)*([2]业务报告!$B:$B=$P$2)),[2]业务报告!AH:AH),0)</f>
        <v>0</v>
      </c>
      <c r="J17" s="30">
        <f>SUMIFS([2]WT报告!A:A,[2]WT报告!$C:$C,$N17,[2]WT报告!$H:$H,$X$2)</f>
        <v>0</v>
      </c>
      <c r="K17" s="28" cm="1">
        <f t="array" ref="K17">IFERROR(LOOKUP(1,0/(([2]业务报告!$A:$A=$N17)*([2]业务报告!$B:$B=$P$2)),[2]业务报告!AI:AI),0)</f>
        <v>0</v>
      </c>
      <c r="L17" s="28" cm="1">
        <f t="array" ref="L17">IFERROR(LOOKUP(1,0/(([2]业务报告!$A:$A=$N17)*([2]业务报告!$B:$B=$P$2)),[2]业务报告!AJ:AJ),0)</f>
        <v>0</v>
      </c>
      <c r="M17" s="49" t="str">
        <f t="shared" si="0"/>
        <v>周6</v>
      </c>
      <c r="N17" s="50">
        <f>DATE($O$1,$O$2,DAY(N16)+1)</f>
        <v>45913</v>
      </c>
      <c r="O17" s="51">
        <f>SUMIFS([2]业务报告!G:G,[2]业务报告!$A:$A,$N17,[2]业务报告!$B:$B,$P$2)+SUMIFS([2]业务报告!G:G,[2]业务报告!$A:$A,$N17,[2]业务报告!$B:$B,$T$2)</f>
        <v>0</v>
      </c>
      <c r="P17" s="51">
        <f>SUMIFS([2]业务报告!H:H,[2]业务报告!$A:$A,$N17,[2]业务报告!$B:$B,$P$2)+SUMIFS([2]业务报告!H:H,[2]业务报告!$A:$A,$N17,[2]业务报告!$B:$B,$T$2)</f>
        <v>0</v>
      </c>
      <c r="Q17" s="51">
        <f>SUMIFS([2]业务报告!I:I,[2]业务报告!$A:$A,$N17,[2]业务报告!$B:$B,$P$2)+SUMIFS([2]业务报告!I:I,[2]业务报告!$A:$A,$N17,[2]业务报告!$B:$B,$T$2)</f>
        <v>0</v>
      </c>
      <c r="R17" s="51">
        <f>SUMIFS([2]业务报告!T:T,[2]业务报告!$A:$A,$N17,[2]业务报告!$B:$B,$P$2)+SUMIFS([2]业务报告!T:T,[2]业务报告!$A:$A,$N17,[2]业务报告!$B:$B,$T$2)</f>
        <v>0</v>
      </c>
      <c r="S17" s="65">
        <f t="shared" si="1"/>
        <v>0</v>
      </c>
      <c r="T17" s="66">
        <f>SUMIFS([2]业务报告!X:X,[2]业务报告!$A:$A,$N17,[2]业务报告!$B:$B,$P$2)+SUMIFS([2]业务报告!X:X,[2]业务报告!$A:$A,$N17,[2]业务报告!$B:$B,$T$2)</f>
        <v>0</v>
      </c>
      <c r="U17" s="28">
        <f>SUMIFS([2]业务报告!AO:AO,[2]业务报告!$A:$A,$N17,[2]业务报告!$B:$B,$P$2)+SUMIFS([2]业务报告!AP:AP,[2]业务报告!$A:$A,$N17,[2]业务报告!$B:$B,$P$2)</f>
        <v>0</v>
      </c>
      <c r="V17" s="73">
        <f>SUMIFS([2]WT报告!I:I,[2]WT报告!$C:$C,$N17,[2]WT报告!$H:$H,$X$2)</f>
        <v>0</v>
      </c>
      <c r="W17" s="66">
        <f>SUMIFS([2]WT报告!Z:Z,[2]WT报告!$C:$C,$N17,[2]WT报告!$H:$H,$X$2)</f>
        <v>0</v>
      </c>
      <c r="X17" s="73">
        <f>SUMIFS([2]业务报告!AS:AS,[2]业务报告!$A:$A,$N17,[2]业务报告!$B:$B,$P$2)+SUMIFS([2]业务报告!AS:AS,[2]业务报告!$A:$A,$N17,[2]业务报告!$B:$B,$T$2)+V17</f>
        <v>0</v>
      </c>
      <c r="Y17" s="85">
        <f>SUMIFS([2]业务报告!AO:AO,[2]业务报告!$A:$A,$N17,[2]业务报告!$B:$B,$P$2)*SUMIFS([2]业务报告!AM:AM,[2]业务报告!$A:$A,$N17,[2]业务报告!$B:$B,$P$2)/$AC$2+SUMIFS([2]业务报告!AP:AP,[2]业务报告!$A:$A,$N17,[2]业务报告!$B:$B,$P$2)*SUMIFS([2]业务报告!AN:AN,[2]业务报告!$A:$A,$N17,[2]业务报告!$B:$B,$P$2)/$AC$2</f>
        <v>0</v>
      </c>
      <c r="Z17" s="86">
        <f>(I17*(1-$AD$2-4%-10%)-$AD$1-$AC$1/$AC$2)*BB17-BC17</f>
        <v>0</v>
      </c>
      <c r="AA17" s="87">
        <f>(I17*(1-$AD$2-4%-10%)-$AD$1-$AC$1/$AC$2)*(R17-IF(R17&gt;V17,SUMIFS([2]业务报告!AO:AO,[2]业务报告!$A:$A,$N17,[2]业务报告!$B:$B,$P$2),0))-BC17</f>
        <v>0</v>
      </c>
      <c r="AB17" s="88">
        <f t="shared" si="2"/>
        <v>0</v>
      </c>
      <c r="AC17" s="86">
        <f>AR17*(J17-$AC$1/$AC$2-J17*4%)-AS17</f>
        <v>0</v>
      </c>
      <c r="AD17" s="87">
        <f>(V17-IF(R17&lt;V17,SUMIFS([2]业务报告!AO:AO,[2]业务报告!$A:$A,$N17,[2]业务报告!$B:$B,$P$2),0))*(J17-$AC$1/$AC$2-J17*4%)-AS17</f>
        <v>0</v>
      </c>
      <c r="AE17" s="87" cm="1">
        <f t="array" ref="AE17">IFERROR(LOOKUP(1,0/(([2]业务报告!$A:$A=$N17)*([2]业务报告!$B:$B=$P$2)),[2]业务报告!AQ:AQ),0)*$AH$2</f>
        <v>0</v>
      </c>
      <c r="AF17" s="87" cm="1">
        <f t="array" ref="AF17">IFERROR(LOOKUP(1,0/(([2]业务报告!$A:$A=$N17)*([2]业务报告!$B:$B=$P$2)),[2]业务报告!AR:AR),0)*$AG$2</f>
        <v>0</v>
      </c>
      <c r="AG17" s="87">
        <f t="shared" si="3"/>
        <v>0</v>
      </c>
      <c r="AH17" s="88">
        <f t="shared" si="4"/>
        <v>0</v>
      </c>
      <c r="AI17" s="116">
        <f t="shared" si="5"/>
        <v>0</v>
      </c>
      <c r="AJ17" s="117">
        <f t="shared" si="6"/>
        <v>0</v>
      </c>
      <c r="AK17" s="122">
        <f t="shared" si="7"/>
        <v>0</v>
      </c>
      <c r="AL17" s="116">
        <f>SUMIFS([2]WT报告!S:S,[2]WT报告!$C:$C,$N17,[2]WT报告!$H:$H,$X$2)</f>
        <v>0</v>
      </c>
      <c r="AM17" s="123">
        <f t="shared" si="8"/>
        <v>0</v>
      </c>
      <c r="AN17" s="124">
        <f>SUMIFS([2]WT报告!N:N,[2]WT报告!$C:$C,$N17,[2]WT报告!$H:$H,$X$2)</f>
        <v>0</v>
      </c>
      <c r="AO17" s="117">
        <f t="shared" si="9"/>
        <v>0</v>
      </c>
      <c r="AP17" s="87">
        <f>SUMIFS([2]WT报告!P:P,[2]WT报告!$C:$C,$N17,[2]WT报告!$H:$H,$X$2)</f>
        <v>0</v>
      </c>
      <c r="AQ17" s="129">
        <f>SUMIFS([2]WT报告!Q:Q,[2]WT报告!$C:$C,$N17,[2]WT报告!$H:$H,$X$2)</f>
        <v>0</v>
      </c>
      <c r="AR17" s="87">
        <f>SUMIFS([2]WT报告!J:J,[2]WT报告!$C:$C,$N17,[2]WT报告!$H:$H,$X$2)</f>
        <v>0</v>
      </c>
      <c r="AS17" s="133">
        <f>SUMIFS([2]WT报告!M:M,[2]WT报告!$C:$C,$N17,[2]WT报告!$H:$H,$X$2)</f>
        <v>0</v>
      </c>
      <c r="AT17" s="134">
        <f t="shared" si="10"/>
        <v>0</v>
      </c>
      <c r="AU17" s="122">
        <f t="shared" si="11"/>
        <v>0</v>
      </c>
      <c r="AV17" s="133">
        <f t="shared" si="12"/>
        <v>0</v>
      </c>
      <c r="AW17" s="123">
        <f t="shared" si="13"/>
        <v>0</v>
      </c>
      <c r="AX17" s="124">
        <f t="shared" si="14"/>
        <v>0</v>
      </c>
      <c r="AY17" s="117">
        <f t="shared" si="15"/>
        <v>0</v>
      </c>
      <c r="AZ17" s="122">
        <f t="shared" si="16"/>
        <v>0</v>
      </c>
      <c r="BA17" s="142">
        <f t="shared" si="17"/>
        <v>0</v>
      </c>
      <c r="BB17" s="122">
        <f t="shared" si="18"/>
        <v>0</v>
      </c>
      <c r="BC17" s="133">
        <f t="shared" si="19"/>
        <v>0</v>
      </c>
      <c r="BD17" s="123">
        <f t="shared" si="20"/>
        <v>0</v>
      </c>
      <c r="BE17" s="150">
        <f t="shared" si="21"/>
        <v>0</v>
      </c>
      <c r="BF17" s="123">
        <f t="shared" si="22"/>
        <v>0</v>
      </c>
      <c r="BG17" s="122">
        <f t="shared" si="23"/>
        <v>0</v>
      </c>
      <c r="BH17" s="122">
        <f>SUMIFS([2]SP!J:J,[2]SP!A:A,N17,[2]SP!H:H,$P$2)+SUMIFS([2]SP!J:J,[2]SP!A:A,N17,[2]SP!H:H,$T$2)</f>
        <v>0</v>
      </c>
      <c r="BI17" s="122">
        <f>SUMIFS([2]SP!K:K,[2]SP!A:A,N17,[2]SP!H:H,$P$2)+SUMIFS([2]SP!K:K,[2]SP!A:A,N17,[2]SP!H:H,$T$2)</f>
        <v>0</v>
      </c>
      <c r="BJ17" s="154">
        <f t="shared" si="24"/>
        <v>0</v>
      </c>
      <c r="BK17" s="124">
        <f t="shared" si="25"/>
        <v>0</v>
      </c>
      <c r="BL17" s="122">
        <f>SUMIFS([2]SP!R:R,[2]SP!A:A,N17,[2]SP!H:H,$P$2)+SUMIFS([2]SP!R:R,[2]SP!A:A,N17,[2]SP!H:H,$T$2)</f>
        <v>0</v>
      </c>
      <c r="BM17" s="124">
        <f>SUMIFS([2]SP!O:O,[2]SP!A:A,$N17,[2]SP!H:H,$P$2)+SUMIFS([2]SP!O:O,[2]SP!A:A,$N17,[2]SP!H:H,$T$2)</f>
        <v>0</v>
      </c>
      <c r="BN17" s="160">
        <f t="shared" si="26"/>
        <v>0</v>
      </c>
      <c r="BO17" s="122">
        <f>SUMIFS([2]SP!N:N,[2]SP!A:A,N17,[2]SP!H:H,$P$2)+SUMIFS([2]SP!N:N,[2]SP!A:A,N17,[2]SP!H:H,$T$2)</f>
        <v>0</v>
      </c>
      <c r="BP17" s="161">
        <f t="shared" si="27"/>
        <v>0</v>
      </c>
      <c r="BQ17" s="122">
        <f>SUMIFS([2]SD!J:J,[2]SD!A:A,N17,[2]SD!H:H,$P$2)+SUMIFS([2]SD!J:J,[2]SD!A:A,N17,[2]SD!H:H,$T$2)</f>
        <v>0</v>
      </c>
      <c r="BR17" s="122">
        <f>SUMIFS([2]SD!L:L,[2]SD!A:A,N17,[2]SD!H:H,$P$2)+SUMIFS([2]SD!L:L,[2]SD!A:A,N17,[2]SD!H:H,$T$2)</f>
        <v>0</v>
      </c>
      <c r="BS17" s="154">
        <f t="shared" si="28"/>
        <v>0</v>
      </c>
      <c r="BT17" s="124">
        <f t="shared" si="29"/>
        <v>0</v>
      </c>
      <c r="BU17" s="122">
        <f>SUMIFS([2]SD!U:U,[2]SD!A:A,N17,[2]SD!H:H,$P$2)+SUMIFS([2]SD!U:U,[2]SD!A:A,N17,[2]SD!H:H,$T$2)</f>
        <v>0</v>
      </c>
      <c r="BV17" s="124">
        <f>SUMIFS([2]SD!V:V,[2]SD!A:A,N17,[2]SD!H:H,$P$2)+SUMIFS([2]SD!V:V,[2]SD!A:A,N17,[2]SD!H:H,$T$2)</f>
        <v>0</v>
      </c>
      <c r="BW17" s="160">
        <f t="shared" si="30"/>
        <v>0</v>
      </c>
      <c r="BX17" s="124">
        <f>SUMIFS([2]SD!O:O,[2]SD!A:A,N17,[2]SD!H:H,$P$2)+SUMIFS([2]SD!O:O,[2]SD!A:A,N17,[2]SD!H:H,$T$2)</f>
        <v>0</v>
      </c>
      <c r="BY17" s="161">
        <f t="shared" si="31"/>
        <v>0</v>
      </c>
      <c r="BZ17" s="122">
        <f>SUMIFS([2]SB!H:H,[2]SB!B:B,N17,[2]SB!A:A,$P$2)+SUMIFS([2]SB!H:H,[2]SB!B:B,N17,[2]SB!A:A,$T$2)</f>
        <v>0</v>
      </c>
      <c r="CA17" s="122">
        <f>SUMIFS([2]SB!I:I,[2]SB!B:B,N17,[2]SB!A:A,$P$2)+SUMIFS([2]SB!I:I,[2]SB!B:B,N17,[2]SB!A:A,$T$2)</f>
        <v>0</v>
      </c>
      <c r="CB17" s="154">
        <f t="shared" si="32"/>
        <v>0</v>
      </c>
      <c r="CC17" s="124">
        <f t="shared" si="33"/>
        <v>0</v>
      </c>
      <c r="CD17" s="122">
        <f>SUMIFS([2]SB!Q:Q,[2]SB!B:B,N17,[2]SB!A:A,$P$2)+SUMIFS([2]SB!Q:Q,[2]SB!B:B,N17,[2]SB!A:A,$T$2)</f>
        <v>0</v>
      </c>
      <c r="CE17" s="124">
        <f>SUMIFS([2]SB!O:O,[2]SB!B:B,N17,[2]SB!A:A,$P$2)+SUMIFS([2]SB!O:O,[2]SB!B:B,N17,[2]SB!A:A,$T$2)</f>
        <v>0</v>
      </c>
      <c r="CF17" s="160">
        <f t="shared" si="34"/>
        <v>0</v>
      </c>
      <c r="CG17" s="124">
        <f>SUMIFS([2]SB!L:L,[2]SB!B:B,N17,[2]SB!A:A,$P$2)+SUMIFS([2]SB!L:L,[2]SB!B:B,N17,[2]SB!A:A,$T$2)</f>
        <v>0</v>
      </c>
      <c r="CH17" s="161">
        <f t="shared" si="35"/>
        <v>0</v>
      </c>
    </row>
    <row r="18" s="1" customFormat="1" hidden="1" spans="1:86">
      <c r="A18" s="17" t="str" cm="1">
        <f t="array" ref="A18">IFERROR(LOOKUP(1,0/(([2]业务报告!$A:$A=$N18)*([2]业务报告!$B:$B=$P$2)),[2]业务报告!AU:AU),"")</f>
        <v/>
      </c>
      <c r="B18" s="17" t="str" cm="1">
        <f t="array" ref="B18">IFERROR(LOOKUP(1,0/(([2]业务报告!$A:$A=$N18)*([2]业务报告!$B:$B=$P$2)),[2]业务报告!AV:AV),"")</f>
        <v/>
      </c>
      <c r="C18" s="20">
        <f>SUMIFS([2]业务报告!AC:AC,[2]业务报告!$A:$A,$N18,[2]业务报告!$B:$B,$P$2)</f>
        <v>0</v>
      </c>
      <c r="D18" s="21">
        <f>SUMIFS([2]业务报告!AD:AD,[2]业务报告!$A:$A,$N18,[2]业务报告!$B:$B,$P$2)</f>
        <v>0</v>
      </c>
      <c r="E18" s="20" t="str" cm="1">
        <f t="array" ref="E18">_xlfn.XLOOKUP($N18&amp;$P$2,[2]业务报告!$A:$A&amp;[2]业务报告!$B:$B,[2]业务报告!AE:AE,"")</f>
        <v/>
      </c>
      <c r="F18" s="28" cm="1">
        <f t="array" ref="F18">IFERROR(LOOKUP(1,0/(([2]业务报告!$A:$A=$N18)*([2]业务报告!$B:$B=$P$2)),[2]业务报告!AK:AK),0)</f>
        <v>0</v>
      </c>
      <c r="G18" s="29">
        <f>SUMIFS([2]业务报告!AF:AF,[2]业务报告!$A:$A,$N18,[2]业务报告!$B:$B,$P$2)</f>
        <v>0</v>
      </c>
      <c r="H18" s="30" cm="1">
        <f t="array" ref="H18">IFERROR(LOOKUP(1,0/(([2]业务报告!$A:$A=$N18)*([2]业务报告!B:B=$P$2)),[2]业务报告!AG:AG),0)</f>
        <v>0</v>
      </c>
      <c r="I18" s="30" cm="1">
        <f t="array" ref="I18">IFERROR(LOOKUP(1,0/(([2]业务报告!$A:$A=$N18)*([2]业务报告!$B:$B=$P$2)),[2]业务报告!AH:AH),0)</f>
        <v>0</v>
      </c>
      <c r="J18" s="30">
        <f>SUMIFS([2]WT报告!A:A,[2]WT报告!$C:$C,$N18,[2]WT报告!$H:$H,$X$2)</f>
        <v>0</v>
      </c>
      <c r="K18" s="28" cm="1">
        <f t="array" ref="K18">IFERROR(LOOKUP(1,0/(([2]业务报告!$A:$A=$N18)*([2]业务报告!$B:$B=$P$2)),[2]业务报告!AI:AI),0)</f>
        <v>0</v>
      </c>
      <c r="L18" s="28" cm="1">
        <f t="array" ref="L18">IFERROR(LOOKUP(1,0/(([2]业务报告!$A:$A=$N18)*([2]业务报告!$B:$B=$P$2)),[2]业务报告!AJ:AJ),0)</f>
        <v>0</v>
      </c>
      <c r="M18" s="49" t="str">
        <f t="shared" si="0"/>
        <v>周7</v>
      </c>
      <c r="N18" s="50">
        <f>DATE($O$1,$O$2,DAY(N17)+1)</f>
        <v>45914</v>
      </c>
      <c r="O18" s="51">
        <f>SUMIFS([2]业务报告!G:G,[2]业务报告!$A:$A,$N18,[2]业务报告!$B:$B,$P$2)+SUMIFS([2]业务报告!G:G,[2]业务报告!$A:$A,$N18,[2]业务报告!$B:$B,$T$2)</f>
        <v>0</v>
      </c>
      <c r="P18" s="51">
        <f>SUMIFS([2]业务报告!H:H,[2]业务报告!$A:$A,$N18,[2]业务报告!$B:$B,$P$2)+SUMIFS([2]业务报告!H:H,[2]业务报告!$A:$A,$N18,[2]业务报告!$B:$B,$T$2)</f>
        <v>0</v>
      </c>
      <c r="Q18" s="51">
        <f>SUMIFS([2]业务报告!I:I,[2]业务报告!$A:$A,$N18,[2]业务报告!$B:$B,$P$2)+SUMIFS([2]业务报告!I:I,[2]业务报告!$A:$A,$N18,[2]业务报告!$B:$B,$T$2)</f>
        <v>0</v>
      </c>
      <c r="R18" s="51">
        <f>SUMIFS([2]业务报告!T:T,[2]业务报告!$A:$A,$N18,[2]业务报告!$B:$B,$P$2)+SUMIFS([2]业务报告!T:T,[2]业务报告!$A:$A,$N18,[2]业务报告!$B:$B,$T$2)</f>
        <v>0</v>
      </c>
      <c r="S18" s="65">
        <f t="shared" si="1"/>
        <v>0</v>
      </c>
      <c r="T18" s="66">
        <f>SUMIFS([2]业务报告!X:X,[2]业务报告!$A:$A,$N18,[2]业务报告!$B:$B,$P$2)+SUMIFS([2]业务报告!X:X,[2]业务报告!$A:$A,$N18,[2]业务报告!$B:$B,$T$2)</f>
        <v>0</v>
      </c>
      <c r="U18" s="28">
        <f>SUMIFS([2]业务报告!AO:AO,[2]业务报告!$A:$A,$N18,[2]业务报告!$B:$B,$P$2)+SUMIFS([2]业务报告!AP:AP,[2]业务报告!$A:$A,$N18,[2]业务报告!$B:$B,$P$2)</f>
        <v>0</v>
      </c>
      <c r="V18" s="73">
        <f>SUMIFS([2]WT报告!I:I,[2]WT报告!$C:$C,$N18,[2]WT报告!$H:$H,$X$2)</f>
        <v>0</v>
      </c>
      <c r="W18" s="66">
        <f>SUMIFS([2]WT报告!Z:Z,[2]WT报告!$C:$C,$N18,[2]WT报告!$H:$H,$X$2)</f>
        <v>0</v>
      </c>
      <c r="X18" s="73">
        <f>SUMIFS([2]业务报告!AS:AS,[2]业务报告!$A:$A,$N18,[2]业务报告!$B:$B,$P$2)+SUMIFS([2]业务报告!AS:AS,[2]业务报告!$A:$A,$N18,[2]业务报告!$B:$B,$T$2)+V18</f>
        <v>0</v>
      </c>
      <c r="Y18" s="85">
        <f>SUMIFS([2]业务报告!AO:AO,[2]业务报告!$A:$A,$N18,[2]业务报告!$B:$B,$P$2)*SUMIFS([2]业务报告!AM:AM,[2]业务报告!$A:$A,$N18,[2]业务报告!$B:$B,$P$2)/$AC$2+SUMIFS([2]业务报告!AP:AP,[2]业务报告!$A:$A,$N18,[2]业务报告!$B:$B,$P$2)*SUMIFS([2]业务报告!AN:AN,[2]业务报告!$A:$A,$N18,[2]业务报告!$B:$B,$P$2)/$AC$2</f>
        <v>0</v>
      </c>
      <c r="Z18" s="86">
        <f>(I18*(1-$AD$2-4%-10%)-$AD$1-$AC$1/$AC$2)*BB18-BC18</f>
        <v>0</v>
      </c>
      <c r="AA18" s="87">
        <f>(I18*(1-$AD$2-4%-10%)-$AD$1-$AC$1/$AC$2)*(R18-IF(R18&gt;V18,SUMIFS([2]业务报告!AO:AO,[2]业务报告!$A:$A,$N18,[2]业务报告!$B:$B,$P$2),0))-BC18</f>
        <v>0</v>
      </c>
      <c r="AB18" s="88">
        <f t="shared" si="2"/>
        <v>0</v>
      </c>
      <c r="AC18" s="86">
        <f>AR18*(J18-$AC$1/$AC$2-J18*4%)-AS18</f>
        <v>0</v>
      </c>
      <c r="AD18" s="87">
        <f>(V18-IF(R18&lt;V18,SUMIFS([2]业务报告!AO:AO,[2]业务报告!$A:$A,$N18,[2]业务报告!$B:$B,$P$2),0))*(J18-$AC$1/$AC$2-J18*4%)-AS18</f>
        <v>0</v>
      </c>
      <c r="AE18" s="87" cm="1">
        <f t="array" ref="AE18">IFERROR(LOOKUP(1,0/(([2]业务报告!$A:$A=$N18)*([2]业务报告!$B:$B=$P$2)),[2]业务报告!AQ:AQ),0)*$AH$2</f>
        <v>0</v>
      </c>
      <c r="AF18" s="87" cm="1">
        <f t="array" ref="AF18">IFERROR(LOOKUP(1,0/(([2]业务报告!$A:$A=$N18)*([2]业务报告!$B:$B=$P$2)),[2]业务报告!AR:AR),0)*$AG$2</f>
        <v>0</v>
      </c>
      <c r="AG18" s="87">
        <f t="shared" si="3"/>
        <v>0</v>
      </c>
      <c r="AH18" s="88">
        <f t="shared" si="4"/>
        <v>0</v>
      </c>
      <c r="AI18" s="116">
        <f t="shared" si="5"/>
        <v>0</v>
      </c>
      <c r="AJ18" s="117">
        <f t="shared" si="6"/>
        <v>0</v>
      </c>
      <c r="AK18" s="122">
        <f t="shared" si="7"/>
        <v>0</v>
      </c>
      <c r="AL18" s="116">
        <f>SUMIFS([2]WT报告!S:S,[2]WT报告!$C:$C,$N18,[2]WT报告!$H:$H,$X$2)</f>
        <v>0</v>
      </c>
      <c r="AM18" s="123">
        <f t="shared" si="8"/>
        <v>0</v>
      </c>
      <c r="AN18" s="124">
        <f>SUMIFS([2]WT报告!N:N,[2]WT报告!$C:$C,$N18,[2]WT报告!$H:$H,$X$2)</f>
        <v>0</v>
      </c>
      <c r="AO18" s="117">
        <f t="shared" si="9"/>
        <v>0</v>
      </c>
      <c r="AP18" s="87">
        <f>SUMIFS([2]WT报告!P:P,[2]WT报告!$C:$C,$N18,[2]WT报告!$H:$H,$X$2)</f>
        <v>0</v>
      </c>
      <c r="AQ18" s="129">
        <f>SUMIFS([2]WT报告!Q:Q,[2]WT报告!$C:$C,$N18,[2]WT报告!$H:$H,$X$2)</f>
        <v>0</v>
      </c>
      <c r="AR18" s="87">
        <f>SUMIFS([2]WT报告!J:J,[2]WT报告!$C:$C,$N18,[2]WT报告!$H:$H,$X$2)</f>
        <v>0</v>
      </c>
      <c r="AS18" s="133">
        <f>SUMIFS([2]WT报告!M:M,[2]WT报告!$C:$C,$N18,[2]WT报告!$H:$H,$X$2)</f>
        <v>0</v>
      </c>
      <c r="AT18" s="134">
        <f t="shared" si="10"/>
        <v>0</v>
      </c>
      <c r="AU18" s="122">
        <f t="shared" si="11"/>
        <v>0</v>
      </c>
      <c r="AV18" s="133">
        <f t="shared" si="12"/>
        <v>0</v>
      </c>
      <c r="AW18" s="123">
        <f t="shared" si="13"/>
        <v>0</v>
      </c>
      <c r="AX18" s="124">
        <f t="shared" si="14"/>
        <v>0</v>
      </c>
      <c r="AY18" s="117">
        <f t="shared" si="15"/>
        <v>0</v>
      </c>
      <c r="AZ18" s="122">
        <f t="shared" si="16"/>
        <v>0</v>
      </c>
      <c r="BA18" s="142">
        <f t="shared" si="17"/>
        <v>0</v>
      </c>
      <c r="BB18" s="122">
        <f t="shared" si="18"/>
        <v>0</v>
      </c>
      <c r="BC18" s="133">
        <f t="shared" si="19"/>
        <v>0</v>
      </c>
      <c r="BD18" s="123">
        <f t="shared" si="20"/>
        <v>0</v>
      </c>
      <c r="BE18" s="150">
        <f t="shared" si="21"/>
        <v>0</v>
      </c>
      <c r="BF18" s="123">
        <f t="shared" si="22"/>
        <v>0</v>
      </c>
      <c r="BG18" s="122">
        <f t="shared" si="23"/>
        <v>0</v>
      </c>
      <c r="BH18" s="122">
        <f>SUMIFS([2]SP!J:J,[2]SP!A:A,N18,[2]SP!H:H,$P$2)+SUMIFS([2]SP!J:J,[2]SP!A:A,N18,[2]SP!H:H,$T$2)</f>
        <v>0</v>
      </c>
      <c r="BI18" s="122">
        <f>SUMIFS([2]SP!K:K,[2]SP!A:A,N18,[2]SP!H:H,$P$2)+SUMIFS([2]SP!K:K,[2]SP!A:A,N18,[2]SP!H:H,$T$2)</f>
        <v>0</v>
      </c>
      <c r="BJ18" s="154">
        <f t="shared" si="24"/>
        <v>0</v>
      </c>
      <c r="BK18" s="124">
        <f t="shared" si="25"/>
        <v>0</v>
      </c>
      <c r="BL18" s="122">
        <f>SUMIFS([2]SP!R:R,[2]SP!A:A,N18,[2]SP!H:H,$P$2)+SUMIFS([2]SP!R:R,[2]SP!A:A,N18,[2]SP!H:H,$T$2)</f>
        <v>0</v>
      </c>
      <c r="BM18" s="124">
        <f>SUMIFS([2]SP!O:O,[2]SP!A:A,$N18,[2]SP!H:H,$P$2)+SUMIFS([2]SP!O:O,[2]SP!A:A,$N18,[2]SP!H:H,$T$2)</f>
        <v>0</v>
      </c>
      <c r="BN18" s="160">
        <f t="shared" si="26"/>
        <v>0</v>
      </c>
      <c r="BO18" s="122">
        <f>SUMIFS([2]SP!N:N,[2]SP!A:A,N18,[2]SP!H:H,$P$2)+SUMIFS([2]SP!N:N,[2]SP!A:A,N18,[2]SP!H:H,$T$2)</f>
        <v>0</v>
      </c>
      <c r="BP18" s="161">
        <f t="shared" si="27"/>
        <v>0</v>
      </c>
      <c r="BQ18" s="122">
        <f>SUMIFS([2]SD!J:J,[2]SD!A:A,N18,[2]SD!H:H,$P$2)+SUMIFS([2]SD!J:J,[2]SD!A:A,N18,[2]SD!H:H,$T$2)</f>
        <v>0</v>
      </c>
      <c r="BR18" s="122">
        <f>SUMIFS([2]SD!L:L,[2]SD!A:A,N18,[2]SD!H:H,$P$2)+SUMIFS([2]SD!L:L,[2]SD!A:A,N18,[2]SD!H:H,$T$2)</f>
        <v>0</v>
      </c>
      <c r="BS18" s="154">
        <f t="shared" si="28"/>
        <v>0</v>
      </c>
      <c r="BT18" s="124">
        <f t="shared" si="29"/>
        <v>0</v>
      </c>
      <c r="BU18" s="122">
        <f>SUMIFS([2]SD!U:U,[2]SD!A:A,N18,[2]SD!H:H,$P$2)+SUMIFS([2]SD!U:U,[2]SD!A:A,N18,[2]SD!H:H,$T$2)</f>
        <v>0</v>
      </c>
      <c r="BV18" s="124">
        <f>SUMIFS([2]SD!V:V,[2]SD!A:A,N18,[2]SD!H:H,$P$2)+SUMIFS([2]SD!V:V,[2]SD!A:A,N18,[2]SD!H:H,$T$2)</f>
        <v>0</v>
      </c>
      <c r="BW18" s="160">
        <f t="shared" si="30"/>
        <v>0</v>
      </c>
      <c r="BX18" s="124">
        <f>SUMIFS([2]SD!O:O,[2]SD!A:A,N18,[2]SD!H:H,$P$2)+SUMIFS([2]SD!O:O,[2]SD!A:A,N18,[2]SD!H:H,$T$2)</f>
        <v>0</v>
      </c>
      <c r="BY18" s="161">
        <f t="shared" si="31"/>
        <v>0</v>
      </c>
      <c r="BZ18" s="122">
        <f>SUMIFS([2]SB!H:H,[2]SB!B:B,N18,[2]SB!A:A,$P$2)+SUMIFS([2]SB!H:H,[2]SB!B:B,N18,[2]SB!A:A,$T$2)</f>
        <v>0</v>
      </c>
      <c r="CA18" s="122">
        <f>SUMIFS([2]SB!I:I,[2]SB!B:B,N18,[2]SB!A:A,$P$2)+SUMIFS([2]SB!I:I,[2]SB!B:B,N18,[2]SB!A:A,$T$2)</f>
        <v>0</v>
      </c>
      <c r="CB18" s="154">
        <f t="shared" si="32"/>
        <v>0</v>
      </c>
      <c r="CC18" s="124">
        <f t="shared" si="33"/>
        <v>0</v>
      </c>
      <c r="CD18" s="122">
        <f>SUMIFS([2]SB!Q:Q,[2]SB!B:B,N18,[2]SB!A:A,$P$2)+SUMIFS([2]SB!Q:Q,[2]SB!B:B,N18,[2]SB!A:A,$T$2)</f>
        <v>0</v>
      </c>
      <c r="CE18" s="124">
        <f>SUMIFS([2]SB!O:O,[2]SB!B:B,N18,[2]SB!A:A,$P$2)+SUMIFS([2]SB!O:O,[2]SB!B:B,N18,[2]SB!A:A,$T$2)</f>
        <v>0</v>
      </c>
      <c r="CF18" s="160">
        <f t="shared" si="34"/>
        <v>0</v>
      </c>
      <c r="CG18" s="124">
        <f>SUMIFS([2]SB!L:L,[2]SB!B:B,N18,[2]SB!A:A,$P$2)+SUMIFS([2]SB!L:L,[2]SB!B:B,N18,[2]SB!A:A,$T$2)</f>
        <v>0</v>
      </c>
      <c r="CH18" s="161">
        <f t="shared" si="35"/>
        <v>0</v>
      </c>
    </row>
    <row r="19" s="1" customFormat="1" hidden="1" spans="1:86">
      <c r="A19" s="17" t="str" cm="1">
        <f t="array" ref="A19">IFERROR(LOOKUP(1,0/(([2]业务报告!$A:$A=$N19)*([2]业务报告!$B:$B=$P$2)),[2]业务报告!AU:AU),"")</f>
        <v/>
      </c>
      <c r="B19" s="17" t="str" cm="1">
        <f t="array" ref="B19">IFERROR(LOOKUP(1,0/(([2]业务报告!$A:$A=$N19)*([2]业务报告!$B:$B=$P$2)),[2]业务报告!AV:AV),"")</f>
        <v/>
      </c>
      <c r="C19" s="20">
        <f>SUMIFS([2]业务报告!AC:AC,[2]业务报告!$A:$A,$N19,[2]业务报告!$B:$B,$P$2)</f>
        <v>0</v>
      </c>
      <c r="D19" s="21">
        <f>SUMIFS([2]业务报告!AD:AD,[2]业务报告!$A:$A,$N19,[2]业务报告!$B:$B,$P$2)</f>
        <v>0</v>
      </c>
      <c r="E19" s="20" t="str" cm="1">
        <f t="array" ref="E19">_xlfn.XLOOKUP($N19&amp;$P$2,[2]业务报告!$A:$A&amp;[2]业务报告!$B:$B,[2]业务报告!AE:AE,"")</f>
        <v/>
      </c>
      <c r="F19" s="28" cm="1">
        <f t="array" ref="F19">IFERROR(LOOKUP(1,0/(([2]业务报告!$A:$A=$N19)*([2]业务报告!$B:$B=$P$2)),[2]业务报告!AK:AK),0)</f>
        <v>0</v>
      </c>
      <c r="G19" s="29">
        <f>SUMIFS([2]业务报告!AF:AF,[2]业务报告!$A:$A,$N19,[2]业务报告!$B:$B,$P$2)</f>
        <v>0</v>
      </c>
      <c r="H19" s="30" cm="1">
        <f t="array" ref="H19">IFERROR(LOOKUP(1,0/(([2]业务报告!$A:$A=$N19)*([2]业务报告!B:B=$P$2)),[2]业务报告!AG:AG),0)</f>
        <v>0</v>
      </c>
      <c r="I19" s="30" cm="1">
        <f t="array" ref="I19">IFERROR(LOOKUP(1,0/(([2]业务报告!$A:$A=$N19)*([2]业务报告!$B:$B=$P$2)),[2]业务报告!AH:AH),0)</f>
        <v>0</v>
      </c>
      <c r="J19" s="30">
        <f>SUMIFS([2]WT报告!A:A,[2]WT报告!$C:$C,$N19,[2]WT报告!$H:$H,$X$2)</f>
        <v>0</v>
      </c>
      <c r="K19" s="28" cm="1">
        <f t="array" ref="K19">IFERROR(LOOKUP(1,0/(([2]业务报告!$A:$A=$N19)*([2]业务报告!$B:$B=$P$2)),[2]业务报告!AI:AI),0)</f>
        <v>0</v>
      </c>
      <c r="L19" s="28" cm="1">
        <f t="array" ref="L19">IFERROR(LOOKUP(1,0/(([2]业务报告!$A:$A=$N19)*([2]业务报告!$B:$B=$P$2)),[2]业务报告!AJ:AJ),0)</f>
        <v>0</v>
      </c>
      <c r="M19" s="49" t="str">
        <f t="shared" si="0"/>
        <v>周1</v>
      </c>
      <c r="N19" s="50">
        <f>DATE($O$1,$O$2,DAY(N18)+1)</f>
        <v>45915</v>
      </c>
      <c r="O19" s="51">
        <f>SUMIFS([2]业务报告!G:G,[2]业务报告!$A:$A,$N19,[2]业务报告!$B:$B,$P$2)+SUMIFS([2]业务报告!G:G,[2]业务报告!$A:$A,$N19,[2]业务报告!$B:$B,$T$2)</f>
        <v>0</v>
      </c>
      <c r="P19" s="51">
        <f>SUMIFS([2]业务报告!H:H,[2]业务报告!$A:$A,$N19,[2]业务报告!$B:$B,$P$2)+SUMIFS([2]业务报告!H:H,[2]业务报告!$A:$A,$N19,[2]业务报告!$B:$B,$T$2)</f>
        <v>0</v>
      </c>
      <c r="Q19" s="51">
        <f>SUMIFS([2]业务报告!I:I,[2]业务报告!$A:$A,$N19,[2]业务报告!$B:$B,$P$2)+SUMIFS([2]业务报告!I:I,[2]业务报告!$A:$A,$N19,[2]业务报告!$B:$B,$T$2)</f>
        <v>0</v>
      </c>
      <c r="R19" s="51">
        <f>SUMIFS([2]业务报告!T:T,[2]业务报告!$A:$A,$N19,[2]业务报告!$B:$B,$P$2)+SUMIFS([2]业务报告!T:T,[2]业务报告!$A:$A,$N19,[2]业务报告!$B:$B,$T$2)</f>
        <v>0</v>
      </c>
      <c r="S19" s="65">
        <f t="shared" si="1"/>
        <v>0</v>
      </c>
      <c r="T19" s="66">
        <f>SUMIFS([2]业务报告!X:X,[2]业务报告!$A:$A,$N19,[2]业务报告!$B:$B,$P$2)+SUMIFS([2]业务报告!X:X,[2]业务报告!$A:$A,$N19,[2]业务报告!$B:$B,$T$2)</f>
        <v>0</v>
      </c>
      <c r="U19" s="28">
        <f>SUMIFS([2]业务报告!AO:AO,[2]业务报告!$A:$A,$N19,[2]业务报告!$B:$B,$P$2)+SUMIFS([2]业务报告!AP:AP,[2]业务报告!$A:$A,$N19,[2]业务报告!$B:$B,$P$2)</f>
        <v>0</v>
      </c>
      <c r="V19" s="73">
        <f>SUMIFS([2]WT报告!I:I,[2]WT报告!$C:$C,$N19,[2]WT报告!$H:$H,$X$2)</f>
        <v>0</v>
      </c>
      <c r="W19" s="66">
        <f>SUMIFS([2]WT报告!Z:Z,[2]WT报告!$C:$C,$N19,[2]WT报告!$H:$H,$X$2)</f>
        <v>0</v>
      </c>
      <c r="X19" s="73">
        <f>SUMIFS([2]业务报告!AS:AS,[2]业务报告!$A:$A,$N19,[2]业务报告!$B:$B,$P$2)+SUMIFS([2]业务报告!AS:AS,[2]业务报告!$A:$A,$N19,[2]业务报告!$B:$B,$T$2)+V19</f>
        <v>0</v>
      </c>
      <c r="Y19" s="85">
        <f>SUMIFS([2]业务报告!AO:AO,[2]业务报告!$A:$A,$N19,[2]业务报告!$B:$B,$P$2)*SUMIFS([2]业务报告!AM:AM,[2]业务报告!$A:$A,$N19,[2]业务报告!$B:$B,$P$2)/$AC$2+SUMIFS([2]业务报告!AP:AP,[2]业务报告!$A:$A,$N19,[2]业务报告!$B:$B,$P$2)*SUMIFS([2]业务报告!AN:AN,[2]业务报告!$A:$A,$N19,[2]业务报告!$B:$B,$P$2)/$AC$2</f>
        <v>0</v>
      </c>
      <c r="Z19" s="86">
        <f>(I19*(1-$AD$2-4%-10%)-$AD$1-$AC$1/$AC$2)*BB19-BC19</f>
        <v>0</v>
      </c>
      <c r="AA19" s="87">
        <f>(I19*(1-$AD$2-4%-10%)-$AD$1-$AC$1/$AC$2)*(R19-IF(R19&gt;V19,SUMIFS([2]业务报告!AO:AO,[2]业务报告!$A:$A,$N19,[2]业务报告!$B:$B,$P$2),0))-BC19</f>
        <v>0</v>
      </c>
      <c r="AB19" s="88">
        <f t="shared" si="2"/>
        <v>0</v>
      </c>
      <c r="AC19" s="86">
        <f>AR19*(J19-$AC$1/$AC$2-J19*4%)-AS19</f>
        <v>0</v>
      </c>
      <c r="AD19" s="87">
        <f>(V19-IF(R19&lt;V19,SUMIFS([2]业务报告!AO:AO,[2]业务报告!$A:$A,$N19,[2]业务报告!$B:$B,$P$2),0))*(J19-$AC$1/$AC$2-J19*4%)-AS19</f>
        <v>0</v>
      </c>
      <c r="AE19" s="87" cm="1">
        <f t="array" ref="AE19">IFERROR(LOOKUP(1,0/(([2]业务报告!$A:$A=$N19)*([2]业务报告!$B:$B=$P$2)),[2]业务报告!AQ:AQ),0)*$AH$2</f>
        <v>0</v>
      </c>
      <c r="AF19" s="87" cm="1">
        <f t="array" ref="AF19">IFERROR(LOOKUP(1,0/(([2]业务报告!$A:$A=$N19)*([2]业务报告!$B:$B=$P$2)),[2]业务报告!AR:AR),0)*$AG$2</f>
        <v>0</v>
      </c>
      <c r="AG19" s="87">
        <f t="shared" si="3"/>
        <v>0</v>
      </c>
      <c r="AH19" s="88">
        <f t="shared" si="4"/>
        <v>0</v>
      </c>
      <c r="AI19" s="116">
        <f t="shared" si="5"/>
        <v>0</v>
      </c>
      <c r="AJ19" s="117">
        <f t="shared" si="6"/>
        <v>0</v>
      </c>
      <c r="AK19" s="122">
        <f t="shared" si="7"/>
        <v>0</v>
      </c>
      <c r="AL19" s="116">
        <f>SUMIFS([2]WT报告!S:S,[2]WT报告!$C:$C,$N19,[2]WT报告!$H:$H,$X$2)</f>
        <v>0</v>
      </c>
      <c r="AM19" s="123">
        <f t="shared" si="8"/>
        <v>0</v>
      </c>
      <c r="AN19" s="124">
        <f>SUMIFS([2]WT报告!N:N,[2]WT报告!$C:$C,$N19,[2]WT报告!$H:$H,$X$2)</f>
        <v>0</v>
      </c>
      <c r="AO19" s="117">
        <f t="shared" si="9"/>
        <v>0</v>
      </c>
      <c r="AP19" s="87">
        <f>SUMIFS([2]WT报告!P:P,[2]WT报告!$C:$C,$N19,[2]WT报告!$H:$H,$X$2)</f>
        <v>0</v>
      </c>
      <c r="AQ19" s="129">
        <f>SUMIFS([2]WT报告!Q:Q,[2]WT报告!$C:$C,$N19,[2]WT报告!$H:$H,$X$2)</f>
        <v>0</v>
      </c>
      <c r="AR19" s="87">
        <f>SUMIFS([2]WT报告!J:J,[2]WT报告!$C:$C,$N19,[2]WT报告!$H:$H,$X$2)</f>
        <v>0</v>
      </c>
      <c r="AS19" s="133">
        <f>SUMIFS([2]WT报告!M:M,[2]WT报告!$C:$C,$N19,[2]WT报告!$H:$H,$X$2)</f>
        <v>0</v>
      </c>
      <c r="AT19" s="134">
        <f t="shared" si="10"/>
        <v>0</v>
      </c>
      <c r="AU19" s="122">
        <f t="shared" si="11"/>
        <v>0</v>
      </c>
      <c r="AV19" s="133">
        <f t="shared" si="12"/>
        <v>0</v>
      </c>
      <c r="AW19" s="123">
        <f t="shared" si="13"/>
        <v>0</v>
      </c>
      <c r="AX19" s="124">
        <f t="shared" si="14"/>
        <v>0</v>
      </c>
      <c r="AY19" s="117">
        <f t="shared" si="15"/>
        <v>0</v>
      </c>
      <c r="AZ19" s="122">
        <f t="shared" si="16"/>
        <v>0</v>
      </c>
      <c r="BA19" s="142">
        <f t="shared" si="17"/>
        <v>0</v>
      </c>
      <c r="BB19" s="122">
        <f t="shared" si="18"/>
        <v>0</v>
      </c>
      <c r="BC19" s="133">
        <f t="shared" si="19"/>
        <v>0</v>
      </c>
      <c r="BD19" s="123">
        <f t="shared" si="20"/>
        <v>0</v>
      </c>
      <c r="BE19" s="150">
        <f t="shared" si="21"/>
        <v>0</v>
      </c>
      <c r="BF19" s="123">
        <f t="shared" si="22"/>
        <v>0</v>
      </c>
      <c r="BG19" s="122">
        <f t="shared" si="23"/>
        <v>0</v>
      </c>
      <c r="BH19" s="122">
        <f>SUMIFS([2]SP!J:J,[2]SP!A:A,N19,[2]SP!H:H,$P$2)+SUMIFS([2]SP!J:J,[2]SP!A:A,N19,[2]SP!H:H,$T$2)</f>
        <v>0</v>
      </c>
      <c r="BI19" s="122">
        <f>SUMIFS([2]SP!K:K,[2]SP!A:A,N19,[2]SP!H:H,$P$2)+SUMIFS([2]SP!K:K,[2]SP!A:A,N19,[2]SP!H:H,$T$2)</f>
        <v>0</v>
      </c>
      <c r="BJ19" s="154">
        <f t="shared" si="24"/>
        <v>0</v>
      </c>
      <c r="BK19" s="124">
        <f t="shared" si="25"/>
        <v>0</v>
      </c>
      <c r="BL19" s="122">
        <f>SUMIFS([2]SP!R:R,[2]SP!A:A,N19,[2]SP!H:H,$P$2)+SUMIFS([2]SP!R:R,[2]SP!A:A,N19,[2]SP!H:H,$T$2)</f>
        <v>0</v>
      </c>
      <c r="BM19" s="124">
        <f>SUMIFS([2]SP!O:O,[2]SP!A:A,$N19,[2]SP!H:H,$P$2)+SUMIFS([2]SP!O:O,[2]SP!A:A,$N19,[2]SP!H:H,$T$2)</f>
        <v>0</v>
      </c>
      <c r="BN19" s="160">
        <f t="shared" si="26"/>
        <v>0</v>
      </c>
      <c r="BO19" s="122">
        <f>SUMIFS([2]SP!N:N,[2]SP!A:A,N19,[2]SP!H:H,$P$2)+SUMIFS([2]SP!N:N,[2]SP!A:A,N19,[2]SP!H:H,$T$2)</f>
        <v>0</v>
      </c>
      <c r="BP19" s="161">
        <f t="shared" si="27"/>
        <v>0</v>
      </c>
      <c r="BQ19" s="122">
        <f>SUMIFS([2]SD!J:J,[2]SD!A:A,N19,[2]SD!H:H,$P$2)+SUMIFS([2]SD!J:J,[2]SD!A:A,N19,[2]SD!H:H,$T$2)</f>
        <v>0</v>
      </c>
      <c r="BR19" s="122">
        <f>SUMIFS([2]SD!L:L,[2]SD!A:A,N19,[2]SD!H:H,$P$2)+SUMIFS([2]SD!L:L,[2]SD!A:A,N19,[2]SD!H:H,$T$2)</f>
        <v>0</v>
      </c>
      <c r="BS19" s="154">
        <f t="shared" si="28"/>
        <v>0</v>
      </c>
      <c r="BT19" s="124">
        <f t="shared" si="29"/>
        <v>0</v>
      </c>
      <c r="BU19" s="122">
        <f>SUMIFS([2]SD!U:U,[2]SD!A:A,N19,[2]SD!H:H,$P$2)+SUMIFS([2]SD!U:U,[2]SD!A:A,N19,[2]SD!H:H,$T$2)</f>
        <v>0</v>
      </c>
      <c r="BV19" s="124">
        <f>SUMIFS([2]SD!V:V,[2]SD!A:A,N19,[2]SD!H:H,$P$2)+SUMIFS([2]SD!V:V,[2]SD!A:A,N19,[2]SD!H:H,$T$2)</f>
        <v>0</v>
      </c>
      <c r="BW19" s="160">
        <f t="shared" si="30"/>
        <v>0</v>
      </c>
      <c r="BX19" s="124">
        <f>SUMIFS([2]SD!O:O,[2]SD!A:A,N19,[2]SD!H:H,$P$2)+SUMIFS([2]SD!O:O,[2]SD!A:A,N19,[2]SD!H:H,$T$2)</f>
        <v>0</v>
      </c>
      <c r="BY19" s="161">
        <f t="shared" si="31"/>
        <v>0</v>
      </c>
      <c r="BZ19" s="122">
        <f>SUMIFS([2]SB!H:H,[2]SB!B:B,N19,[2]SB!A:A,$P$2)+SUMIFS([2]SB!H:H,[2]SB!B:B,N19,[2]SB!A:A,$T$2)</f>
        <v>0</v>
      </c>
      <c r="CA19" s="122">
        <f>SUMIFS([2]SB!I:I,[2]SB!B:B,N19,[2]SB!A:A,$P$2)+SUMIFS([2]SB!I:I,[2]SB!B:B,N19,[2]SB!A:A,$T$2)</f>
        <v>0</v>
      </c>
      <c r="CB19" s="154">
        <f t="shared" si="32"/>
        <v>0</v>
      </c>
      <c r="CC19" s="124">
        <f t="shared" si="33"/>
        <v>0</v>
      </c>
      <c r="CD19" s="122">
        <f>SUMIFS([2]SB!Q:Q,[2]SB!B:B,N19,[2]SB!A:A,$P$2)+SUMIFS([2]SB!Q:Q,[2]SB!B:B,N19,[2]SB!A:A,$T$2)</f>
        <v>0</v>
      </c>
      <c r="CE19" s="124">
        <f>SUMIFS([2]SB!O:O,[2]SB!B:B,N19,[2]SB!A:A,$P$2)+SUMIFS([2]SB!O:O,[2]SB!B:B,N19,[2]SB!A:A,$T$2)</f>
        <v>0</v>
      </c>
      <c r="CF19" s="160">
        <f t="shared" si="34"/>
        <v>0</v>
      </c>
      <c r="CG19" s="124">
        <f>SUMIFS([2]SB!L:L,[2]SB!B:B,N19,[2]SB!A:A,$P$2)+SUMIFS([2]SB!L:L,[2]SB!B:B,N19,[2]SB!A:A,$T$2)</f>
        <v>0</v>
      </c>
      <c r="CH19" s="161">
        <f t="shared" si="35"/>
        <v>0</v>
      </c>
    </row>
    <row r="20" s="1" customFormat="1" hidden="1" spans="1:86">
      <c r="A20" s="17" t="str" cm="1">
        <f t="array" ref="A20">IFERROR(LOOKUP(1,0/(([2]业务报告!$A:$A=$N20)*([2]业务报告!$B:$B=$P$2)),[2]业务报告!AU:AU),"")</f>
        <v/>
      </c>
      <c r="B20" s="17" t="str" cm="1">
        <f t="array" ref="B20">IFERROR(LOOKUP(1,0/(([2]业务报告!$A:$A=$N20)*([2]业务报告!$B:$B=$P$2)),[2]业务报告!AV:AV),"")</f>
        <v/>
      </c>
      <c r="C20" s="20">
        <f>SUMIFS([2]业务报告!AC:AC,[2]业务报告!$A:$A,$N20,[2]业务报告!$B:$B,$P$2)</f>
        <v>0</v>
      </c>
      <c r="D20" s="21">
        <f>SUMIFS([2]业务报告!AD:AD,[2]业务报告!$A:$A,$N20,[2]业务报告!$B:$B,$P$2)</f>
        <v>0</v>
      </c>
      <c r="E20" s="20" t="str" cm="1">
        <f t="array" ref="E20">_xlfn.XLOOKUP($N20&amp;$P$2,[2]业务报告!$A:$A&amp;[2]业务报告!$B:$B,[2]业务报告!AE:AE,"")</f>
        <v/>
      </c>
      <c r="F20" s="28" cm="1">
        <f t="array" ref="F20">IFERROR(LOOKUP(1,0/(([2]业务报告!$A:$A=$N20)*([2]业务报告!$B:$B=$P$2)),[2]业务报告!AK:AK),0)</f>
        <v>0</v>
      </c>
      <c r="G20" s="29">
        <f>SUMIFS([2]业务报告!AF:AF,[2]业务报告!$A:$A,$N20,[2]业务报告!$B:$B,$P$2)</f>
        <v>0</v>
      </c>
      <c r="H20" s="30" cm="1">
        <f t="array" ref="H20">IFERROR(LOOKUP(1,0/(([2]业务报告!$A:$A=$N20)*([2]业务报告!B:B=$P$2)),[2]业务报告!AG:AG),0)</f>
        <v>0</v>
      </c>
      <c r="I20" s="30" cm="1">
        <f t="array" ref="I20">IFERROR(LOOKUP(1,0/(([2]业务报告!$A:$A=$N20)*([2]业务报告!$B:$B=$P$2)),[2]业务报告!AH:AH),0)</f>
        <v>0</v>
      </c>
      <c r="J20" s="30">
        <f>SUMIFS([2]WT报告!A:A,[2]WT报告!$C:$C,$N20,[2]WT报告!$H:$H,$X$2)</f>
        <v>0</v>
      </c>
      <c r="K20" s="28" cm="1">
        <f t="array" ref="K20">IFERROR(LOOKUP(1,0/(([2]业务报告!$A:$A=$N20)*([2]业务报告!$B:$B=$P$2)),[2]业务报告!AI:AI),0)</f>
        <v>0</v>
      </c>
      <c r="L20" s="28" cm="1">
        <f t="array" ref="L20">IFERROR(LOOKUP(1,0/(([2]业务报告!$A:$A=$N20)*([2]业务报告!$B:$B=$P$2)),[2]业务报告!AJ:AJ),0)</f>
        <v>0</v>
      </c>
      <c r="M20" s="49" t="str">
        <f t="shared" si="0"/>
        <v>周2</v>
      </c>
      <c r="N20" s="50">
        <f>DATE($O$1,$O$2,DAY(N19)+1)</f>
        <v>45916</v>
      </c>
      <c r="O20" s="51">
        <f>SUMIFS([2]业务报告!G:G,[2]业务报告!$A:$A,$N20,[2]业务报告!$B:$B,$P$2)+SUMIFS([2]业务报告!G:G,[2]业务报告!$A:$A,$N20,[2]业务报告!$B:$B,$T$2)</f>
        <v>0</v>
      </c>
      <c r="P20" s="51">
        <f>SUMIFS([2]业务报告!H:H,[2]业务报告!$A:$A,$N20,[2]业务报告!$B:$B,$P$2)+SUMIFS([2]业务报告!H:H,[2]业务报告!$A:$A,$N20,[2]业务报告!$B:$B,$T$2)</f>
        <v>0</v>
      </c>
      <c r="Q20" s="51">
        <f>SUMIFS([2]业务报告!I:I,[2]业务报告!$A:$A,$N20,[2]业务报告!$B:$B,$P$2)+SUMIFS([2]业务报告!I:I,[2]业务报告!$A:$A,$N20,[2]业务报告!$B:$B,$T$2)</f>
        <v>0</v>
      </c>
      <c r="R20" s="51">
        <f>SUMIFS([2]业务报告!T:T,[2]业务报告!$A:$A,$N20,[2]业务报告!$B:$B,$P$2)+SUMIFS([2]业务报告!T:T,[2]业务报告!$A:$A,$N20,[2]业务报告!$B:$B,$T$2)</f>
        <v>0</v>
      </c>
      <c r="S20" s="65">
        <f t="shared" si="1"/>
        <v>0</v>
      </c>
      <c r="T20" s="66">
        <f>SUMIFS([2]业务报告!X:X,[2]业务报告!$A:$A,$N20,[2]业务报告!$B:$B,$P$2)+SUMIFS([2]业务报告!X:X,[2]业务报告!$A:$A,$N20,[2]业务报告!$B:$B,$T$2)</f>
        <v>0</v>
      </c>
      <c r="U20" s="28">
        <f>SUMIFS([2]业务报告!AO:AO,[2]业务报告!$A:$A,$N20,[2]业务报告!$B:$B,$P$2)+SUMIFS([2]业务报告!AP:AP,[2]业务报告!$A:$A,$N20,[2]业务报告!$B:$B,$P$2)</f>
        <v>0</v>
      </c>
      <c r="V20" s="73">
        <f>SUMIFS([2]WT报告!I:I,[2]WT报告!$C:$C,$N20,[2]WT报告!$H:$H,$X$2)</f>
        <v>0</v>
      </c>
      <c r="W20" s="66">
        <f>SUMIFS([2]WT报告!Z:Z,[2]WT报告!$C:$C,$N20,[2]WT报告!$H:$H,$X$2)</f>
        <v>0</v>
      </c>
      <c r="X20" s="73">
        <f>SUMIFS([2]业务报告!AS:AS,[2]业务报告!$A:$A,$N20,[2]业务报告!$B:$B,$P$2)+SUMIFS([2]业务报告!AS:AS,[2]业务报告!$A:$A,$N20,[2]业务报告!$B:$B,$T$2)+V20</f>
        <v>0</v>
      </c>
      <c r="Y20" s="85">
        <f>SUMIFS([2]业务报告!AO:AO,[2]业务报告!$A:$A,$N20,[2]业务报告!$B:$B,$P$2)*SUMIFS([2]业务报告!AM:AM,[2]业务报告!$A:$A,$N20,[2]业务报告!$B:$B,$P$2)/$AC$2+SUMIFS([2]业务报告!AP:AP,[2]业务报告!$A:$A,$N20,[2]业务报告!$B:$B,$P$2)*SUMIFS([2]业务报告!AN:AN,[2]业务报告!$A:$A,$N20,[2]业务报告!$B:$B,$P$2)/$AC$2</f>
        <v>0</v>
      </c>
      <c r="Z20" s="86">
        <f>(I20*(1-$AD$2-4%-10%)-$AD$1-$AC$1/$AC$2)*BB20-BC20</f>
        <v>0</v>
      </c>
      <c r="AA20" s="87">
        <f>(I20*(1-$AD$2-4%-10%)-$AD$1-$AC$1/$AC$2)*(R20-IF(R20&gt;V20,SUMIFS([2]业务报告!AO:AO,[2]业务报告!$A:$A,$N20,[2]业务报告!$B:$B,$P$2),0))-BC20</f>
        <v>0</v>
      </c>
      <c r="AB20" s="88">
        <f t="shared" si="2"/>
        <v>0</v>
      </c>
      <c r="AC20" s="86">
        <f>AR20*(J20-$AC$1/$AC$2-J20*4%)-AS20</f>
        <v>0</v>
      </c>
      <c r="AD20" s="87">
        <f>(V20-IF(R20&lt;V20,SUMIFS([2]业务报告!AO:AO,[2]业务报告!$A:$A,$N20,[2]业务报告!$B:$B,$P$2),0))*(J20-$AC$1/$AC$2-J20*4%)-AS20</f>
        <v>0</v>
      </c>
      <c r="AE20" s="87" cm="1">
        <f t="array" ref="AE20">IFERROR(LOOKUP(1,0/(([2]业务报告!$A:$A=$N20)*([2]业务报告!$B:$B=$P$2)),[2]业务报告!AQ:AQ),0)*$AH$2</f>
        <v>0</v>
      </c>
      <c r="AF20" s="87" cm="1">
        <f t="array" ref="AF20">IFERROR(LOOKUP(1,0/(([2]业务报告!$A:$A=$N20)*([2]业务报告!$B:$B=$P$2)),[2]业务报告!AR:AR),0)*$AG$2</f>
        <v>0</v>
      </c>
      <c r="AG20" s="87">
        <f t="shared" si="3"/>
        <v>0</v>
      </c>
      <c r="AH20" s="88">
        <f t="shared" si="4"/>
        <v>0</v>
      </c>
      <c r="AI20" s="116">
        <f t="shared" si="5"/>
        <v>0</v>
      </c>
      <c r="AJ20" s="117">
        <f t="shared" si="6"/>
        <v>0</v>
      </c>
      <c r="AK20" s="122">
        <f t="shared" si="7"/>
        <v>0</v>
      </c>
      <c r="AL20" s="116">
        <f>SUMIFS([2]WT报告!S:S,[2]WT报告!$C:$C,$N20,[2]WT报告!$H:$H,$X$2)</f>
        <v>0</v>
      </c>
      <c r="AM20" s="123">
        <f t="shared" si="8"/>
        <v>0</v>
      </c>
      <c r="AN20" s="124">
        <f>SUMIFS([2]WT报告!N:N,[2]WT报告!$C:$C,$N20,[2]WT报告!$H:$H,$X$2)</f>
        <v>0</v>
      </c>
      <c r="AO20" s="117">
        <f t="shared" si="9"/>
        <v>0</v>
      </c>
      <c r="AP20" s="87">
        <f>SUMIFS([2]WT报告!P:P,[2]WT报告!$C:$C,$N20,[2]WT报告!$H:$H,$X$2)</f>
        <v>0</v>
      </c>
      <c r="AQ20" s="129">
        <f>SUMIFS([2]WT报告!Q:Q,[2]WT报告!$C:$C,$N20,[2]WT报告!$H:$H,$X$2)</f>
        <v>0</v>
      </c>
      <c r="AR20" s="87">
        <f>SUMIFS([2]WT报告!J:J,[2]WT报告!$C:$C,$N20,[2]WT报告!$H:$H,$X$2)</f>
        <v>0</v>
      </c>
      <c r="AS20" s="133">
        <f>SUMIFS([2]WT报告!M:M,[2]WT报告!$C:$C,$N20,[2]WT报告!$H:$H,$X$2)</f>
        <v>0</v>
      </c>
      <c r="AT20" s="134">
        <f t="shared" si="10"/>
        <v>0</v>
      </c>
      <c r="AU20" s="122">
        <f t="shared" si="11"/>
        <v>0</v>
      </c>
      <c r="AV20" s="133">
        <f t="shared" si="12"/>
        <v>0</v>
      </c>
      <c r="AW20" s="123">
        <f t="shared" si="13"/>
        <v>0</v>
      </c>
      <c r="AX20" s="124">
        <f t="shared" si="14"/>
        <v>0</v>
      </c>
      <c r="AY20" s="117">
        <f t="shared" si="15"/>
        <v>0</v>
      </c>
      <c r="AZ20" s="122">
        <f t="shared" si="16"/>
        <v>0</v>
      </c>
      <c r="BA20" s="142">
        <f t="shared" si="17"/>
        <v>0</v>
      </c>
      <c r="BB20" s="122">
        <f t="shared" si="18"/>
        <v>0</v>
      </c>
      <c r="BC20" s="133">
        <f t="shared" si="19"/>
        <v>0</v>
      </c>
      <c r="BD20" s="123">
        <f t="shared" si="20"/>
        <v>0</v>
      </c>
      <c r="BE20" s="150">
        <f t="shared" si="21"/>
        <v>0</v>
      </c>
      <c r="BF20" s="123">
        <f t="shared" si="22"/>
        <v>0</v>
      </c>
      <c r="BG20" s="122">
        <f t="shared" si="23"/>
        <v>0</v>
      </c>
      <c r="BH20" s="122">
        <f>SUMIFS([2]SP!J:J,[2]SP!A:A,N20,[2]SP!H:H,$P$2)+SUMIFS([2]SP!J:J,[2]SP!A:A,N20,[2]SP!H:H,$T$2)</f>
        <v>0</v>
      </c>
      <c r="BI20" s="122">
        <f>SUMIFS([2]SP!K:K,[2]SP!A:A,N20,[2]SP!H:H,$P$2)+SUMIFS([2]SP!K:K,[2]SP!A:A,N20,[2]SP!H:H,$T$2)</f>
        <v>0</v>
      </c>
      <c r="BJ20" s="154">
        <f t="shared" si="24"/>
        <v>0</v>
      </c>
      <c r="BK20" s="124">
        <f t="shared" si="25"/>
        <v>0</v>
      </c>
      <c r="BL20" s="122">
        <f>SUMIFS([2]SP!R:R,[2]SP!A:A,N20,[2]SP!H:H,$P$2)+SUMIFS([2]SP!R:R,[2]SP!A:A,N20,[2]SP!H:H,$T$2)</f>
        <v>0</v>
      </c>
      <c r="BM20" s="124">
        <f>SUMIFS([2]SP!O:O,[2]SP!A:A,$N20,[2]SP!H:H,$P$2)+SUMIFS([2]SP!O:O,[2]SP!A:A,$N20,[2]SP!H:H,$T$2)</f>
        <v>0</v>
      </c>
      <c r="BN20" s="160">
        <f t="shared" si="26"/>
        <v>0</v>
      </c>
      <c r="BO20" s="122">
        <f>SUMIFS([2]SP!N:N,[2]SP!A:A,N20,[2]SP!H:H,$P$2)+SUMIFS([2]SP!N:N,[2]SP!A:A,N20,[2]SP!H:H,$T$2)</f>
        <v>0</v>
      </c>
      <c r="BP20" s="161">
        <f t="shared" si="27"/>
        <v>0</v>
      </c>
      <c r="BQ20" s="122">
        <f>SUMIFS([2]SD!J:J,[2]SD!A:A,N20,[2]SD!H:H,$P$2)+SUMIFS([2]SD!J:J,[2]SD!A:A,N20,[2]SD!H:H,$T$2)</f>
        <v>0</v>
      </c>
      <c r="BR20" s="122">
        <f>SUMIFS([2]SD!L:L,[2]SD!A:A,N20,[2]SD!H:H,$P$2)+SUMIFS([2]SD!L:L,[2]SD!A:A,N20,[2]SD!H:H,$T$2)</f>
        <v>0</v>
      </c>
      <c r="BS20" s="154">
        <f t="shared" si="28"/>
        <v>0</v>
      </c>
      <c r="BT20" s="124">
        <f t="shared" si="29"/>
        <v>0</v>
      </c>
      <c r="BU20" s="122">
        <f>SUMIFS([2]SD!U:U,[2]SD!A:A,N20,[2]SD!H:H,$P$2)+SUMIFS([2]SD!U:U,[2]SD!A:A,N20,[2]SD!H:H,$T$2)</f>
        <v>0</v>
      </c>
      <c r="BV20" s="124">
        <f>SUMIFS([2]SD!V:V,[2]SD!A:A,N20,[2]SD!H:H,$P$2)+SUMIFS([2]SD!V:V,[2]SD!A:A,N20,[2]SD!H:H,$T$2)</f>
        <v>0</v>
      </c>
      <c r="BW20" s="160">
        <f t="shared" si="30"/>
        <v>0</v>
      </c>
      <c r="BX20" s="124">
        <f>SUMIFS([2]SD!O:O,[2]SD!A:A,N20,[2]SD!H:H,$P$2)+SUMIFS([2]SD!O:O,[2]SD!A:A,N20,[2]SD!H:H,$T$2)</f>
        <v>0</v>
      </c>
      <c r="BY20" s="161">
        <f t="shared" si="31"/>
        <v>0</v>
      </c>
      <c r="BZ20" s="122">
        <f>SUMIFS([2]SB!H:H,[2]SB!B:B,N20,[2]SB!A:A,$P$2)+SUMIFS([2]SB!H:H,[2]SB!B:B,N20,[2]SB!A:A,$T$2)</f>
        <v>0</v>
      </c>
      <c r="CA20" s="122">
        <f>SUMIFS([2]SB!I:I,[2]SB!B:B,N20,[2]SB!A:A,$P$2)+SUMIFS([2]SB!I:I,[2]SB!B:B,N20,[2]SB!A:A,$T$2)</f>
        <v>0</v>
      </c>
      <c r="CB20" s="154">
        <f t="shared" si="32"/>
        <v>0</v>
      </c>
      <c r="CC20" s="124">
        <f t="shared" si="33"/>
        <v>0</v>
      </c>
      <c r="CD20" s="122">
        <f>SUMIFS([2]SB!Q:Q,[2]SB!B:B,N20,[2]SB!A:A,$P$2)+SUMIFS([2]SB!Q:Q,[2]SB!B:B,N20,[2]SB!A:A,$T$2)</f>
        <v>0</v>
      </c>
      <c r="CE20" s="124">
        <f>SUMIFS([2]SB!O:O,[2]SB!B:B,N20,[2]SB!A:A,$P$2)+SUMIFS([2]SB!O:O,[2]SB!B:B,N20,[2]SB!A:A,$T$2)</f>
        <v>0</v>
      </c>
      <c r="CF20" s="160">
        <f t="shared" si="34"/>
        <v>0</v>
      </c>
      <c r="CG20" s="124">
        <f>SUMIFS([2]SB!L:L,[2]SB!B:B,N20,[2]SB!A:A,$P$2)+SUMIFS([2]SB!L:L,[2]SB!B:B,N20,[2]SB!A:A,$T$2)</f>
        <v>0</v>
      </c>
      <c r="CH20" s="161">
        <f t="shared" si="35"/>
        <v>0</v>
      </c>
    </row>
    <row r="21" s="1" customFormat="1" hidden="1" spans="1:86">
      <c r="A21" s="17" t="str" cm="1">
        <f t="array" ref="A21">IFERROR(LOOKUP(1,0/(([2]业务报告!$A:$A=$N21)*([2]业务报告!$B:$B=$P$2)),[2]业务报告!AU:AU),"")</f>
        <v/>
      </c>
      <c r="B21" s="17" t="str" cm="1">
        <f t="array" ref="B21">IFERROR(LOOKUP(1,0/(([2]业务报告!$A:$A=$N21)*([2]业务报告!$B:$B=$P$2)),[2]业务报告!AV:AV),"")</f>
        <v/>
      </c>
      <c r="C21" s="20">
        <f>SUMIFS([2]业务报告!AC:AC,[2]业务报告!$A:$A,$N21,[2]业务报告!$B:$B,$P$2)</f>
        <v>0</v>
      </c>
      <c r="D21" s="21">
        <f>SUMIFS([2]业务报告!AD:AD,[2]业务报告!$A:$A,$N21,[2]业务报告!$B:$B,$P$2)</f>
        <v>0</v>
      </c>
      <c r="E21" s="20" t="str" cm="1">
        <f t="array" ref="E21">_xlfn.XLOOKUP($N21&amp;$P$2,[2]业务报告!$A:$A&amp;[2]业务报告!$B:$B,[2]业务报告!AE:AE,"")</f>
        <v/>
      </c>
      <c r="F21" s="28" cm="1">
        <f t="array" ref="F21">IFERROR(LOOKUP(1,0/(([2]业务报告!$A:$A=$N21)*([2]业务报告!$B:$B=$P$2)),[2]业务报告!AK:AK),0)</f>
        <v>0</v>
      </c>
      <c r="G21" s="29">
        <f>SUMIFS([2]业务报告!AF:AF,[2]业务报告!$A:$A,$N21,[2]业务报告!$B:$B,$P$2)</f>
        <v>0</v>
      </c>
      <c r="H21" s="30" cm="1">
        <f t="array" ref="H21">IFERROR(LOOKUP(1,0/(([2]业务报告!$A:$A=$N21)*([2]业务报告!B:B=$P$2)),[2]业务报告!AG:AG),0)</f>
        <v>0</v>
      </c>
      <c r="I21" s="30" cm="1">
        <f t="array" ref="I21">IFERROR(LOOKUP(1,0/(([2]业务报告!$A:$A=$N21)*([2]业务报告!$B:$B=$P$2)),[2]业务报告!AH:AH),0)</f>
        <v>0</v>
      </c>
      <c r="J21" s="30">
        <f>SUMIFS([2]WT报告!A:A,[2]WT报告!$C:$C,$N21,[2]WT报告!$H:$H,$X$2)</f>
        <v>0</v>
      </c>
      <c r="K21" s="28" cm="1">
        <f t="array" ref="K21">IFERROR(LOOKUP(1,0/(([2]业务报告!$A:$A=$N21)*([2]业务报告!$B:$B=$P$2)),[2]业务报告!AI:AI),0)</f>
        <v>0</v>
      </c>
      <c r="L21" s="28" cm="1">
        <f t="array" ref="L21">IFERROR(LOOKUP(1,0/(([2]业务报告!$A:$A=$N21)*([2]业务报告!$B:$B=$P$2)),[2]业务报告!AJ:AJ),0)</f>
        <v>0</v>
      </c>
      <c r="M21" s="49" t="str">
        <f t="shared" si="0"/>
        <v>周3</v>
      </c>
      <c r="N21" s="50">
        <f>DATE($O$1,$O$2,DAY(N20)+1)</f>
        <v>45917</v>
      </c>
      <c r="O21" s="51">
        <f>SUMIFS([2]业务报告!G:G,[2]业务报告!$A:$A,$N21,[2]业务报告!$B:$B,$P$2)+SUMIFS([2]业务报告!G:G,[2]业务报告!$A:$A,$N21,[2]业务报告!$B:$B,$T$2)</f>
        <v>0</v>
      </c>
      <c r="P21" s="51">
        <f>SUMIFS([2]业务报告!H:H,[2]业务报告!$A:$A,$N21,[2]业务报告!$B:$B,$P$2)+SUMIFS([2]业务报告!H:H,[2]业务报告!$A:$A,$N21,[2]业务报告!$B:$B,$T$2)</f>
        <v>0</v>
      </c>
      <c r="Q21" s="51">
        <f>SUMIFS([2]业务报告!I:I,[2]业务报告!$A:$A,$N21,[2]业务报告!$B:$B,$P$2)+SUMIFS([2]业务报告!I:I,[2]业务报告!$A:$A,$N21,[2]业务报告!$B:$B,$T$2)</f>
        <v>0</v>
      </c>
      <c r="R21" s="51">
        <f>SUMIFS([2]业务报告!T:T,[2]业务报告!$A:$A,$N21,[2]业务报告!$B:$B,$P$2)+SUMIFS([2]业务报告!T:T,[2]业务报告!$A:$A,$N21,[2]业务报告!$B:$B,$T$2)</f>
        <v>0</v>
      </c>
      <c r="S21" s="65">
        <f t="shared" si="1"/>
        <v>0</v>
      </c>
      <c r="T21" s="66">
        <f>SUMIFS([2]业务报告!X:X,[2]业务报告!$A:$A,$N21,[2]业务报告!$B:$B,$P$2)+SUMIFS([2]业务报告!X:X,[2]业务报告!$A:$A,$N21,[2]业务报告!$B:$B,$T$2)</f>
        <v>0</v>
      </c>
      <c r="U21" s="28">
        <f>SUMIFS([2]业务报告!AO:AO,[2]业务报告!$A:$A,$N21,[2]业务报告!$B:$B,$P$2)+SUMIFS([2]业务报告!AP:AP,[2]业务报告!$A:$A,$N21,[2]业务报告!$B:$B,$P$2)</f>
        <v>0</v>
      </c>
      <c r="V21" s="73">
        <f>SUMIFS([2]WT报告!I:I,[2]WT报告!$C:$C,$N21,[2]WT报告!$H:$H,$X$2)</f>
        <v>0</v>
      </c>
      <c r="W21" s="66">
        <f>SUMIFS([2]WT报告!Z:Z,[2]WT报告!$C:$C,$N21,[2]WT报告!$H:$H,$X$2)</f>
        <v>0</v>
      </c>
      <c r="X21" s="73">
        <f>SUMIFS([2]业务报告!AS:AS,[2]业务报告!$A:$A,$N21,[2]业务报告!$B:$B,$P$2)+SUMIFS([2]业务报告!AS:AS,[2]业务报告!$A:$A,$N21,[2]业务报告!$B:$B,$T$2)+V21</f>
        <v>0</v>
      </c>
      <c r="Y21" s="85">
        <f>SUMIFS([2]业务报告!AO:AO,[2]业务报告!$A:$A,$N21,[2]业务报告!$B:$B,$P$2)*SUMIFS([2]业务报告!AM:AM,[2]业务报告!$A:$A,$N21,[2]业务报告!$B:$B,$P$2)/$AC$2+SUMIFS([2]业务报告!AP:AP,[2]业务报告!$A:$A,$N21,[2]业务报告!$B:$B,$P$2)*SUMIFS([2]业务报告!AN:AN,[2]业务报告!$A:$A,$N21,[2]业务报告!$B:$B,$P$2)/$AC$2</f>
        <v>0</v>
      </c>
      <c r="Z21" s="86">
        <f>(I21*(1-$AD$2-4%-10%)-$AD$1-$AC$1/$AC$2)*BB21-BC21</f>
        <v>0</v>
      </c>
      <c r="AA21" s="87">
        <f>(I21*(1-$AD$2-4%-10%)-$AD$1-$AC$1/$AC$2)*(R21-IF(R21&gt;V21,SUMIFS([2]业务报告!AO:AO,[2]业务报告!$A:$A,$N21,[2]业务报告!$B:$B,$P$2),0))-BC21</f>
        <v>0</v>
      </c>
      <c r="AB21" s="88">
        <f t="shared" si="2"/>
        <v>0</v>
      </c>
      <c r="AC21" s="86">
        <f>AR21*(J21-$AC$1/$AC$2-J21*4%)-AS21</f>
        <v>0</v>
      </c>
      <c r="AD21" s="87">
        <f>(V21-IF(R21&lt;V21,SUMIFS([2]业务报告!AO:AO,[2]业务报告!$A:$A,$N21,[2]业务报告!$B:$B,$P$2),0))*(J21-$AC$1/$AC$2-J21*4%)-AS21</f>
        <v>0</v>
      </c>
      <c r="AE21" s="87" cm="1">
        <f t="array" ref="AE21">IFERROR(LOOKUP(1,0/(([2]业务报告!$A:$A=$N21)*([2]业务报告!$B:$B=$P$2)),[2]业务报告!AQ:AQ),0)*$AH$2</f>
        <v>0</v>
      </c>
      <c r="AF21" s="87" cm="1">
        <f t="array" ref="AF21">IFERROR(LOOKUP(1,0/(([2]业务报告!$A:$A=$N21)*([2]业务报告!$B:$B=$P$2)),[2]业务报告!AR:AR),0)*$AG$2</f>
        <v>0</v>
      </c>
      <c r="AG21" s="87">
        <f t="shared" si="3"/>
        <v>0</v>
      </c>
      <c r="AH21" s="88">
        <f t="shared" si="4"/>
        <v>0</v>
      </c>
      <c r="AI21" s="116">
        <f t="shared" si="5"/>
        <v>0</v>
      </c>
      <c r="AJ21" s="117">
        <f t="shared" si="6"/>
        <v>0</v>
      </c>
      <c r="AK21" s="122">
        <f t="shared" si="7"/>
        <v>0</v>
      </c>
      <c r="AL21" s="116">
        <f>SUMIFS([2]WT报告!S:S,[2]WT报告!$C:$C,$N21,[2]WT报告!$H:$H,$X$2)</f>
        <v>0</v>
      </c>
      <c r="AM21" s="123">
        <f t="shared" si="8"/>
        <v>0</v>
      </c>
      <c r="AN21" s="124">
        <f>SUMIFS([2]WT报告!N:N,[2]WT报告!$C:$C,$N21,[2]WT报告!$H:$H,$X$2)</f>
        <v>0</v>
      </c>
      <c r="AO21" s="117">
        <f t="shared" si="9"/>
        <v>0</v>
      </c>
      <c r="AP21" s="87">
        <f>SUMIFS([2]WT报告!P:P,[2]WT报告!$C:$C,$N21,[2]WT报告!$H:$H,$X$2)</f>
        <v>0</v>
      </c>
      <c r="AQ21" s="129">
        <f>SUMIFS([2]WT报告!Q:Q,[2]WT报告!$C:$C,$N21,[2]WT报告!$H:$H,$X$2)</f>
        <v>0</v>
      </c>
      <c r="AR21" s="87">
        <f>SUMIFS([2]WT报告!J:J,[2]WT报告!$C:$C,$N21,[2]WT报告!$H:$H,$X$2)</f>
        <v>0</v>
      </c>
      <c r="AS21" s="133">
        <f>SUMIFS([2]WT报告!M:M,[2]WT报告!$C:$C,$N21,[2]WT报告!$H:$H,$X$2)</f>
        <v>0</v>
      </c>
      <c r="AT21" s="134">
        <f t="shared" si="10"/>
        <v>0</v>
      </c>
      <c r="AU21" s="122">
        <f t="shared" si="11"/>
        <v>0</v>
      </c>
      <c r="AV21" s="133">
        <f t="shared" si="12"/>
        <v>0</v>
      </c>
      <c r="AW21" s="123">
        <f t="shared" si="13"/>
        <v>0</v>
      </c>
      <c r="AX21" s="124">
        <f t="shared" si="14"/>
        <v>0</v>
      </c>
      <c r="AY21" s="117">
        <f t="shared" si="15"/>
        <v>0</v>
      </c>
      <c r="AZ21" s="122">
        <f t="shared" si="16"/>
        <v>0</v>
      </c>
      <c r="BA21" s="142">
        <f t="shared" si="17"/>
        <v>0</v>
      </c>
      <c r="BB21" s="122">
        <f t="shared" si="18"/>
        <v>0</v>
      </c>
      <c r="BC21" s="133">
        <f t="shared" si="19"/>
        <v>0</v>
      </c>
      <c r="BD21" s="123">
        <f t="shared" si="20"/>
        <v>0</v>
      </c>
      <c r="BE21" s="150">
        <f t="shared" si="21"/>
        <v>0</v>
      </c>
      <c r="BF21" s="123">
        <f t="shared" si="22"/>
        <v>0</v>
      </c>
      <c r="BG21" s="122">
        <f t="shared" si="23"/>
        <v>0</v>
      </c>
      <c r="BH21" s="122">
        <f>SUMIFS([2]SP!J:J,[2]SP!A:A,N21,[2]SP!H:H,$P$2)+SUMIFS([2]SP!J:J,[2]SP!A:A,N21,[2]SP!H:H,$T$2)</f>
        <v>0</v>
      </c>
      <c r="BI21" s="122">
        <f>SUMIFS([2]SP!K:K,[2]SP!A:A,N21,[2]SP!H:H,$P$2)+SUMIFS([2]SP!K:K,[2]SP!A:A,N21,[2]SP!H:H,$T$2)</f>
        <v>0</v>
      </c>
      <c r="BJ21" s="154">
        <f t="shared" si="24"/>
        <v>0</v>
      </c>
      <c r="BK21" s="124">
        <f t="shared" si="25"/>
        <v>0</v>
      </c>
      <c r="BL21" s="122">
        <f>SUMIFS([2]SP!R:R,[2]SP!A:A,N21,[2]SP!H:H,$P$2)+SUMIFS([2]SP!R:R,[2]SP!A:A,N21,[2]SP!H:H,$T$2)</f>
        <v>0</v>
      </c>
      <c r="BM21" s="124">
        <f>SUMIFS([2]SP!O:O,[2]SP!A:A,$N21,[2]SP!H:H,$P$2)+SUMIFS([2]SP!O:O,[2]SP!A:A,$N21,[2]SP!H:H,$T$2)</f>
        <v>0</v>
      </c>
      <c r="BN21" s="160">
        <f t="shared" si="26"/>
        <v>0</v>
      </c>
      <c r="BO21" s="122">
        <f>SUMIFS([2]SP!N:N,[2]SP!A:A,N21,[2]SP!H:H,$P$2)+SUMIFS([2]SP!N:N,[2]SP!A:A,N21,[2]SP!H:H,$T$2)</f>
        <v>0</v>
      </c>
      <c r="BP21" s="161">
        <f t="shared" si="27"/>
        <v>0</v>
      </c>
      <c r="BQ21" s="122">
        <f>SUMIFS([2]SD!J:J,[2]SD!A:A,N21,[2]SD!H:H,$P$2)+SUMIFS([2]SD!J:J,[2]SD!A:A,N21,[2]SD!H:H,$T$2)</f>
        <v>0</v>
      </c>
      <c r="BR21" s="122">
        <f>SUMIFS([2]SD!L:L,[2]SD!A:A,N21,[2]SD!H:H,$P$2)+SUMIFS([2]SD!L:L,[2]SD!A:A,N21,[2]SD!H:H,$T$2)</f>
        <v>0</v>
      </c>
      <c r="BS21" s="154">
        <f t="shared" si="28"/>
        <v>0</v>
      </c>
      <c r="BT21" s="124">
        <f t="shared" si="29"/>
        <v>0</v>
      </c>
      <c r="BU21" s="122">
        <f>SUMIFS([2]SD!U:U,[2]SD!A:A,N21,[2]SD!H:H,$P$2)+SUMIFS([2]SD!U:U,[2]SD!A:A,N21,[2]SD!H:H,$T$2)</f>
        <v>0</v>
      </c>
      <c r="BV21" s="124">
        <f>SUMIFS([2]SD!V:V,[2]SD!A:A,N21,[2]SD!H:H,$P$2)+SUMIFS([2]SD!V:V,[2]SD!A:A,N21,[2]SD!H:H,$T$2)</f>
        <v>0</v>
      </c>
      <c r="BW21" s="160">
        <f t="shared" si="30"/>
        <v>0</v>
      </c>
      <c r="BX21" s="124">
        <f>SUMIFS([2]SD!O:O,[2]SD!A:A,N21,[2]SD!H:H,$P$2)+SUMIFS([2]SD!O:O,[2]SD!A:A,N21,[2]SD!H:H,$T$2)</f>
        <v>0</v>
      </c>
      <c r="BY21" s="161">
        <f t="shared" si="31"/>
        <v>0</v>
      </c>
      <c r="BZ21" s="122">
        <f>SUMIFS([2]SB!H:H,[2]SB!B:B,N21,[2]SB!A:A,$P$2)+SUMIFS([2]SB!H:H,[2]SB!B:B,N21,[2]SB!A:A,$T$2)</f>
        <v>0</v>
      </c>
      <c r="CA21" s="122">
        <f>SUMIFS([2]SB!I:I,[2]SB!B:B,N21,[2]SB!A:A,$P$2)+SUMIFS([2]SB!I:I,[2]SB!B:B,N21,[2]SB!A:A,$T$2)</f>
        <v>0</v>
      </c>
      <c r="CB21" s="154">
        <f t="shared" si="32"/>
        <v>0</v>
      </c>
      <c r="CC21" s="124">
        <f t="shared" si="33"/>
        <v>0</v>
      </c>
      <c r="CD21" s="122">
        <f>SUMIFS([2]SB!Q:Q,[2]SB!B:B,N21,[2]SB!A:A,$P$2)+SUMIFS([2]SB!Q:Q,[2]SB!B:B,N21,[2]SB!A:A,$T$2)</f>
        <v>0</v>
      </c>
      <c r="CE21" s="124">
        <f>SUMIFS([2]SB!O:O,[2]SB!B:B,N21,[2]SB!A:A,$P$2)+SUMIFS([2]SB!O:O,[2]SB!B:B,N21,[2]SB!A:A,$T$2)</f>
        <v>0</v>
      </c>
      <c r="CF21" s="160">
        <f t="shared" si="34"/>
        <v>0</v>
      </c>
      <c r="CG21" s="124">
        <f>SUMIFS([2]SB!L:L,[2]SB!B:B,N21,[2]SB!A:A,$P$2)+SUMIFS([2]SB!L:L,[2]SB!B:B,N21,[2]SB!A:A,$T$2)</f>
        <v>0</v>
      </c>
      <c r="CH21" s="161">
        <f t="shared" si="35"/>
        <v>0</v>
      </c>
    </row>
    <row r="22" s="1" customFormat="1" ht="20" hidden="1" customHeight="1" spans="1:86">
      <c r="A22" s="17" t="str" cm="1">
        <f t="array" ref="A22">IFERROR(LOOKUP(1,0/(([2]业务报告!$A:$A=$N22)*([2]业务报告!$B:$B=$P$2)),[2]业务报告!AU:AU),"")</f>
        <v/>
      </c>
      <c r="B22" s="17" t="str" cm="1">
        <f t="array" ref="B22">IFERROR(LOOKUP(1,0/(([2]业务报告!$A:$A=$N22)*([2]业务报告!$B:$B=$P$2)),[2]业务报告!AV:AV),"")</f>
        <v/>
      </c>
      <c r="C22" s="20">
        <f>SUMIFS([2]业务报告!AC:AC,[2]业务报告!$A:$A,$N22,[2]业务报告!$B:$B,$P$2)</f>
        <v>0</v>
      </c>
      <c r="D22" s="21">
        <f>SUMIFS([2]业务报告!AD:AD,[2]业务报告!$A:$A,$N22,[2]业务报告!$B:$B,$P$2)</f>
        <v>0</v>
      </c>
      <c r="E22" s="20" t="str" cm="1">
        <f t="array" ref="E22">_xlfn.XLOOKUP($N22&amp;$P$2,[2]业务报告!$A:$A&amp;[2]业务报告!$B:$B,[2]业务报告!AE:AE,"")</f>
        <v/>
      </c>
      <c r="F22" s="28" cm="1">
        <f t="array" ref="F22">IFERROR(LOOKUP(1,0/(([2]业务报告!$A:$A=$N22)*([2]业务报告!$B:$B=$P$2)),[2]业务报告!AK:AK),0)</f>
        <v>0</v>
      </c>
      <c r="G22" s="29">
        <f>SUMIFS([2]业务报告!AF:AF,[2]业务报告!$A:$A,$N22,[2]业务报告!$B:$B,$P$2)</f>
        <v>0</v>
      </c>
      <c r="H22" s="30" cm="1">
        <f t="array" ref="H22">IFERROR(LOOKUP(1,0/(([2]业务报告!$A:$A=$N22)*([2]业务报告!B:B=$P$2)),[2]业务报告!AG:AG),0)</f>
        <v>0</v>
      </c>
      <c r="I22" s="30" cm="1">
        <f t="array" ref="I22">IFERROR(LOOKUP(1,0/(([2]业务报告!$A:$A=$N22)*([2]业务报告!$B:$B=$P$2)),[2]业务报告!AH:AH),0)</f>
        <v>0</v>
      </c>
      <c r="J22" s="30">
        <f>SUMIFS([2]WT报告!A:A,[2]WT报告!$C:$C,$N22,[2]WT报告!$H:$H,$X$2)</f>
        <v>0</v>
      </c>
      <c r="K22" s="28" cm="1">
        <f t="array" ref="K22">IFERROR(LOOKUP(1,0/(([2]业务报告!$A:$A=$N22)*([2]业务报告!$B:$B=$P$2)),[2]业务报告!AI:AI),0)</f>
        <v>0</v>
      </c>
      <c r="L22" s="28" cm="1">
        <f t="array" ref="L22">IFERROR(LOOKUP(1,0/(([2]业务报告!$A:$A=$N22)*([2]业务报告!$B:$B=$P$2)),[2]业务报告!AJ:AJ),0)</f>
        <v>0</v>
      </c>
      <c r="M22" s="49" t="str">
        <f t="shared" si="0"/>
        <v>周4</v>
      </c>
      <c r="N22" s="50">
        <f>DATE($O$1,$O$2,DAY(N21)+1)</f>
        <v>45918</v>
      </c>
      <c r="O22" s="51">
        <f>SUMIFS([2]业务报告!G:G,[2]业务报告!$A:$A,$N22,[2]业务报告!$B:$B,$P$2)+SUMIFS([2]业务报告!G:G,[2]业务报告!$A:$A,$N22,[2]业务报告!$B:$B,$T$2)</f>
        <v>0</v>
      </c>
      <c r="P22" s="51">
        <f>SUMIFS([2]业务报告!H:H,[2]业务报告!$A:$A,$N22,[2]业务报告!$B:$B,$P$2)+SUMIFS([2]业务报告!H:H,[2]业务报告!$A:$A,$N22,[2]业务报告!$B:$B,$T$2)</f>
        <v>0</v>
      </c>
      <c r="Q22" s="51">
        <f>SUMIFS([2]业务报告!I:I,[2]业务报告!$A:$A,$N22,[2]业务报告!$B:$B,$P$2)+SUMIFS([2]业务报告!I:I,[2]业务报告!$A:$A,$N22,[2]业务报告!$B:$B,$T$2)</f>
        <v>0</v>
      </c>
      <c r="R22" s="51">
        <f>SUMIFS([2]业务报告!T:T,[2]业务报告!$A:$A,$N22,[2]业务报告!$B:$B,$P$2)+SUMIFS([2]业务报告!T:T,[2]业务报告!$A:$A,$N22,[2]业务报告!$B:$B,$T$2)</f>
        <v>0</v>
      </c>
      <c r="S22" s="65">
        <f t="shared" si="1"/>
        <v>0</v>
      </c>
      <c r="T22" s="66">
        <f>SUMIFS([2]业务报告!X:X,[2]业务报告!$A:$A,$N22,[2]业务报告!$B:$B,$P$2)+SUMIFS([2]业务报告!X:X,[2]业务报告!$A:$A,$N22,[2]业务报告!$B:$B,$T$2)</f>
        <v>0</v>
      </c>
      <c r="U22" s="28">
        <f>SUMIFS([2]业务报告!AO:AO,[2]业务报告!$A:$A,$N22,[2]业务报告!$B:$B,$P$2)+SUMIFS([2]业务报告!AP:AP,[2]业务报告!$A:$A,$N22,[2]业务报告!$B:$B,$P$2)</f>
        <v>0</v>
      </c>
      <c r="V22" s="73">
        <f>SUMIFS([2]WT报告!I:I,[2]WT报告!$C:$C,$N22,[2]WT报告!$H:$H,$X$2)</f>
        <v>0</v>
      </c>
      <c r="W22" s="66">
        <f>SUMIFS([2]WT报告!Z:Z,[2]WT报告!$C:$C,$N22,[2]WT报告!$H:$H,$X$2)</f>
        <v>0</v>
      </c>
      <c r="X22" s="73">
        <f>SUMIFS([2]业务报告!AS:AS,[2]业务报告!$A:$A,$N22,[2]业务报告!$B:$B,$P$2)+SUMIFS([2]业务报告!AS:AS,[2]业务报告!$A:$A,$N22,[2]业务报告!$B:$B,$T$2)+V22</f>
        <v>0</v>
      </c>
      <c r="Y22" s="85">
        <f>SUMIFS([2]业务报告!AO:AO,[2]业务报告!$A:$A,$N22,[2]业务报告!$B:$B,$P$2)*SUMIFS([2]业务报告!AM:AM,[2]业务报告!$A:$A,$N22,[2]业务报告!$B:$B,$P$2)/$AC$2+SUMIFS([2]业务报告!AP:AP,[2]业务报告!$A:$A,$N22,[2]业务报告!$B:$B,$P$2)*SUMIFS([2]业务报告!AN:AN,[2]业务报告!$A:$A,$N22,[2]业务报告!$B:$B,$P$2)/$AC$2</f>
        <v>0</v>
      </c>
      <c r="Z22" s="86">
        <f>(I22*(1-$AD$2-4%-10%)-$AD$1-$AC$1/$AC$2)*BB22-BC22</f>
        <v>0</v>
      </c>
      <c r="AA22" s="87">
        <f>(I22*(1-$AD$2-4%-10%)-$AD$1-$AC$1/$AC$2)*(R22-IF(R22&gt;V22,SUMIFS([2]业务报告!AO:AO,[2]业务报告!$A:$A,$N22,[2]业务报告!$B:$B,$P$2),0))-BC22</f>
        <v>0</v>
      </c>
      <c r="AB22" s="88">
        <f t="shared" si="2"/>
        <v>0</v>
      </c>
      <c r="AC22" s="86">
        <f>AR22*(J22-$AC$1/$AC$2-J22*4%)-AS22</f>
        <v>0</v>
      </c>
      <c r="AD22" s="87">
        <f>(V22-IF(R22&lt;V22,SUMIFS([2]业务报告!AO:AO,[2]业务报告!$A:$A,$N22,[2]业务报告!$B:$B,$P$2),0))*(J22-$AC$1/$AC$2-J22*4%)-AS22</f>
        <v>0</v>
      </c>
      <c r="AE22" s="87" cm="1">
        <f t="array" ref="AE22">IFERROR(LOOKUP(1,0/(([2]业务报告!$A:$A=$N22)*([2]业务报告!$B:$B=$P$2)),[2]业务报告!AQ:AQ),0)*$AH$2</f>
        <v>0</v>
      </c>
      <c r="AF22" s="87" cm="1">
        <f t="array" ref="AF22">IFERROR(LOOKUP(1,0/(([2]业务报告!$A:$A=$N22)*([2]业务报告!$B:$B=$P$2)),[2]业务报告!AR:AR),0)*$AG$2</f>
        <v>0</v>
      </c>
      <c r="AG22" s="87">
        <f t="shared" si="3"/>
        <v>0</v>
      </c>
      <c r="AH22" s="88">
        <f t="shared" si="4"/>
        <v>0</v>
      </c>
      <c r="AI22" s="116">
        <f t="shared" si="5"/>
        <v>0</v>
      </c>
      <c r="AJ22" s="117">
        <f t="shared" si="6"/>
        <v>0</v>
      </c>
      <c r="AK22" s="122">
        <f t="shared" si="7"/>
        <v>0</v>
      </c>
      <c r="AL22" s="116">
        <f>SUMIFS([2]WT报告!S:S,[2]WT报告!$C:$C,$N22,[2]WT报告!$H:$H,$X$2)</f>
        <v>0</v>
      </c>
      <c r="AM22" s="123">
        <f t="shared" si="8"/>
        <v>0</v>
      </c>
      <c r="AN22" s="124">
        <f>SUMIFS([2]WT报告!N:N,[2]WT报告!$C:$C,$N22,[2]WT报告!$H:$H,$X$2)</f>
        <v>0</v>
      </c>
      <c r="AO22" s="117">
        <f t="shared" si="9"/>
        <v>0</v>
      </c>
      <c r="AP22" s="87">
        <f>SUMIFS([2]WT报告!P:P,[2]WT报告!$C:$C,$N22,[2]WT报告!$H:$H,$X$2)</f>
        <v>0</v>
      </c>
      <c r="AQ22" s="129">
        <f>SUMIFS([2]WT报告!Q:Q,[2]WT报告!$C:$C,$N22,[2]WT报告!$H:$H,$X$2)</f>
        <v>0</v>
      </c>
      <c r="AR22" s="87">
        <f>SUMIFS([2]WT报告!J:J,[2]WT报告!$C:$C,$N22,[2]WT报告!$H:$H,$X$2)</f>
        <v>0</v>
      </c>
      <c r="AS22" s="133">
        <f>SUMIFS([2]WT报告!M:M,[2]WT报告!$C:$C,$N22,[2]WT报告!$H:$H,$X$2)</f>
        <v>0</v>
      </c>
      <c r="AT22" s="134">
        <f t="shared" si="10"/>
        <v>0</v>
      </c>
      <c r="AU22" s="122">
        <f t="shared" si="11"/>
        <v>0</v>
      </c>
      <c r="AV22" s="133">
        <f t="shared" si="12"/>
        <v>0</v>
      </c>
      <c r="AW22" s="123">
        <f t="shared" si="13"/>
        <v>0</v>
      </c>
      <c r="AX22" s="124">
        <f t="shared" si="14"/>
        <v>0</v>
      </c>
      <c r="AY22" s="117">
        <f t="shared" si="15"/>
        <v>0</v>
      </c>
      <c r="AZ22" s="122">
        <f t="shared" si="16"/>
        <v>0</v>
      </c>
      <c r="BA22" s="142">
        <f t="shared" si="17"/>
        <v>0</v>
      </c>
      <c r="BB22" s="122">
        <f t="shared" si="18"/>
        <v>0</v>
      </c>
      <c r="BC22" s="133">
        <f t="shared" si="19"/>
        <v>0</v>
      </c>
      <c r="BD22" s="123">
        <f t="shared" si="20"/>
        <v>0</v>
      </c>
      <c r="BE22" s="150">
        <f t="shared" si="21"/>
        <v>0</v>
      </c>
      <c r="BF22" s="123">
        <f t="shared" si="22"/>
        <v>0</v>
      </c>
      <c r="BG22" s="122">
        <f t="shared" si="23"/>
        <v>0</v>
      </c>
      <c r="BH22" s="122">
        <f>SUMIFS([2]SP!J:J,[2]SP!A:A,N22,[2]SP!H:H,$P$2)+SUMIFS([2]SP!J:J,[2]SP!A:A,N22,[2]SP!H:H,$T$2)</f>
        <v>0</v>
      </c>
      <c r="BI22" s="122">
        <f>SUMIFS([2]SP!K:K,[2]SP!A:A,N22,[2]SP!H:H,$P$2)+SUMIFS([2]SP!K:K,[2]SP!A:A,N22,[2]SP!H:H,$T$2)</f>
        <v>0</v>
      </c>
      <c r="BJ22" s="154">
        <f t="shared" si="24"/>
        <v>0</v>
      </c>
      <c r="BK22" s="124">
        <f t="shared" si="25"/>
        <v>0</v>
      </c>
      <c r="BL22" s="122">
        <f>SUMIFS([2]SP!R:R,[2]SP!A:A,N22,[2]SP!H:H,$P$2)+SUMIFS([2]SP!R:R,[2]SP!A:A,N22,[2]SP!H:H,$T$2)</f>
        <v>0</v>
      </c>
      <c r="BM22" s="124">
        <f>SUMIFS([2]SP!O:O,[2]SP!A:A,$N22,[2]SP!H:H,$P$2)+SUMIFS([2]SP!O:O,[2]SP!A:A,$N22,[2]SP!H:H,$T$2)</f>
        <v>0</v>
      </c>
      <c r="BN22" s="160">
        <f t="shared" si="26"/>
        <v>0</v>
      </c>
      <c r="BO22" s="122">
        <f>SUMIFS([2]SP!N:N,[2]SP!A:A,N22,[2]SP!H:H,$P$2)+SUMIFS([2]SP!N:N,[2]SP!A:A,N22,[2]SP!H:H,$T$2)</f>
        <v>0</v>
      </c>
      <c r="BP22" s="161">
        <f t="shared" si="27"/>
        <v>0</v>
      </c>
      <c r="BQ22" s="122">
        <f>SUMIFS([2]SD!J:J,[2]SD!A:A,N22,[2]SD!H:H,$P$2)+SUMIFS([2]SD!J:J,[2]SD!A:A,N22,[2]SD!H:H,$T$2)</f>
        <v>0</v>
      </c>
      <c r="BR22" s="122">
        <f>SUMIFS([2]SD!L:L,[2]SD!A:A,N22,[2]SD!H:H,$P$2)+SUMIFS([2]SD!L:L,[2]SD!A:A,N22,[2]SD!H:H,$T$2)</f>
        <v>0</v>
      </c>
      <c r="BS22" s="154">
        <f t="shared" si="28"/>
        <v>0</v>
      </c>
      <c r="BT22" s="124">
        <f t="shared" si="29"/>
        <v>0</v>
      </c>
      <c r="BU22" s="122">
        <f>SUMIFS([2]SD!U:U,[2]SD!A:A,N22,[2]SD!H:H,$P$2)+SUMIFS([2]SD!U:U,[2]SD!A:A,N22,[2]SD!H:H,$T$2)</f>
        <v>0</v>
      </c>
      <c r="BV22" s="124">
        <f>SUMIFS([2]SD!V:V,[2]SD!A:A,N22,[2]SD!H:H,$P$2)+SUMIFS([2]SD!V:V,[2]SD!A:A,N22,[2]SD!H:H,$T$2)</f>
        <v>0</v>
      </c>
      <c r="BW22" s="160">
        <f t="shared" si="30"/>
        <v>0</v>
      </c>
      <c r="BX22" s="124">
        <f>SUMIFS([2]SD!O:O,[2]SD!A:A,N22,[2]SD!H:H,$P$2)+SUMIFS([2]SD!O:O,[2]SD!A:A,N22,[2]SD!H:H,$T$2)</f>
        <v>0</v>
      </c>
      <c r="BY22" s="161">
        <f t="shared" si="31"/>
        <v>0</v>
      </c>
      <c r="BZ22" s="122">
        <f>SUMIFS([2]SB!H:H,[2]SB!B:B,N22,[2]SB!A:A,$P$2)+SUMIFS([2]SB!H:H,[2]SB!B:B,N22,[2]SB!A:A,$T$2)</f>
        <v>0</v>
      </c>
      <c r="CA22" s="122">
        <f>SUMIFS([2]SB!I:I,[2]SB!B:B,N22,[2]SB!A:A,$P$2)+SUMIFS([2]SB!I:I,[2]SB!B:B,N22,[2]SB!A:A,$T$2)</f>
        <v>0</v>
      </c>
      <c r="CB22" s="154">
        <f t="shared" si="32"/>
        <v>0</v>
      </c>
      <c r="CC22" s="124">
        <f t="shared" si="33"/>
        <v>0</v>
      </c>
      <c r="CD22" s="122">
        <f>SUMIFS([2]SB!Q:Q,[2]SB!B:B,N22,[2]SB!A:A,$P$2)+SUMIFS([2]SB!Q:Q,[2]SB!B:B,N22,[2]SB!A:A,$T$2)</f>
        <v>0</v>
      </c>
      <c r="CE22" s="124">
        <f>SUMIFS([2]SB!O:O,[2]SB!B:B,N22,[2]SB!A:A,$P$2)+SUMIFS([2]SB!O:O,[2]SB!B:B,N22,[2]SB!A:A,$T$2)</f>
        <v>0</v>
      </c>
      <c r="CF22" s="160">
        <f t="shared" si="34"/>
        <v>0</v>
      </c>
      <c r="CG22" s="124">
        <f>SUMIFS([2]SB!L:L,[2]SB!B:B,N22,[2]SB!A:A,$P$2)+SUMIFS([2]SB!L:L,[2]SB!B:B,N22,[2]SB!A:A,$T$2)</f>
        <v>0</v>
      </c>
      <c r="CH22" s="161">
        <f t="shared" si="35"/>
        <v>0</v>
      </c>
    </row>
    <row r="23" s="1" customFormat="1" ht="20" hidden="1" customHeight="1" spans="1:86">
      <c r="A23" s="17" t="str" cm="1">
        <f t="array" ref="A23">IFERROR(LOOKUP(1,0/(([2]业务报告!$A:$A=$N23)*([2]业务报告!$B:$B=$P$2)),[2]业务报告!AU:AU),"")</f>
        <v/>
      </c>
      <c r="B23" s="17" t="str" cm="1">
        <f t="array" ref="B23">IFERROR(LOOKUP(1,0/(([2]业务报告!$A:$A=$N23)*([2]业务报告!$B:$B=$P$2)),[2]业务报告!AV:AV),"")</f>
        <v/>
      </c>
      <c r="C23" s="20">
        <f>SUMIFS([2]业务报告!AC:AC,[2]业务报告!$A:$A,$N23,[2]业务报告!$B:$B,$P$2)</f>
        <v>0</v>
      </c>
      <c r="D23" s="21">
        <f>SUMIFS([2]业务报告!AD:AD,[2]业务报告!$A:$A,$N23,[2]业务报告!$B:$B,$P$2)</f>
        <v>0</v>
      </c>
      <c r="E23" s="20" t="str" cm="1">
        <f t="array" ref="E23">_xlfn.XLOOKUP($N23&amp;$P$2,[2]业务报告!$A:$A&amp;[2]业务报告!$B:$B,[2]业务报告!AE:AE,"")</f>
        <v/>
      </c>
      <c r="F23" s="28" cm="1">
        <f t="array" ref="F23">IFERROR(LOOKUP(1,0/(([2]业务报告!$A:$A=$N23)*([2]业务报告!$B:$B=$P$2)),[2]业务报告!AK:AK),0)</f>
        <v>0</v>
      </c>
      <c r="G23" s="29">
        <f>SUMIFS([2]业务报告!AF:AF,[2]业务报告!$A:$A,$N23,[2]业务报告!$B:$B,$P$2)</f>
        <v>0</v>
      </c>
      <c r="H23" s="30" cm="1">
        <f t="array" ref="H23">IFERROR(LOOKUP(1,0/(([2]业务报告!$A:$A=$N23)*([2]业务报告!B:B=$P$2)),[2]业务报告!AG:AG),0)</f>
        <v>0</v>
      </c>
      <c r="I23" s="30" cm="1">
        <f t="array" ref="I23">IFERROR(LOOKUP(1,0/(([2]业务报告!$A:$A=$N23)*([2]业务报告!$B:$B=$P$2)),[2]业务报告!AH:AH),0)</f>
        <v>0</v>
      </c>
      <c r="J23" s="30">
        <f>SUMIFS([2]WT报告!A:A,[2]WT报告!$C:$C,$N23,[2]WT报告!$H:$H,$X$2)</f>
        <v>0</v>
      </c>
      <c r="K23" s="28" cm="1">
        <f t="array" ref="K23">IFERROR(LOOKUP(1,0/(([2]业务报告!$A:$A=$N23)*([2]业务报告!$B:$B=$P$2)),[2]业务报告!AI:AI),0)</f>
        <v>0</v>
      </c>
      <c r="L23" s="28" cm="1">
        <f t="array" ref="L23">IFERROR(LOOKUP(1,0/(([2]业务报告!$A:$A=$N23)*([2]业务报告!$B:$B=$P$2)),[2]业务报告!AJ:AJ),0)</f>
        <v>0</v>
      </c>
      <c r="M23" s="49" t="str">
        <f t="shared" si="0"/>
        <v>周5</v>
      </c>
      <c r="N23" s="50">
        <f>DATE($O$1,$O$2,DAY(N22)+1)</f>
        <v>45919</v>
      </c>
      <c r="O23" s="51">
        <f>SUMIFS([2]业务报告!G:G,[2]业务报告!$A:$A,$N23,[2]业务报告!$B:$B,$P$2)+SUMIFS([2]业务报告!G:G,[2]业务报告!$A:$A,$N23,[2]业务报告!$B:$B,$T$2)</f>
        <v>0</v>
      </c>
      <c r="P23" s="51">
        <f>SUMIFS([2]业务报告!H:H,[2]业务报告!$A:$A,$N23,[2]业务报告!$B:$B,$P$2)+SUMIFS([2]业务报告!H:H,[2]业务报告!$A:$A,$N23,[2]业务报告!$B:$B,$T$2)</f>
        <v>0</v>
      </c>
      <c r="Q23" s="51">
        <f>SUMIFS([2]业务报告!I:I,[2]业务报告!$A:$A,$N23,[2]业务报告!$B:$B,$P$2)+SUMIFS([2]业务报告!I:I,[2]业务报告!$A:$A,$N23,[2]业务报告!$B:$B,$T$2)</f>
        <v>0</v>
      </c>
      <c r="R23" s="51">
        <f>SUMIFS([2]业务报告!T:T,[2]业务报告!$A:$A,$N23,[2]业务报告!$B:$B,$P$2)+SUMIFS([2]业务报告!T:T,[2]业务报告!$A:$A,$N23,[2]业务报告!$B:$B,$T$2)</f>
        <v>0</v>
      </c>
      <c r="S23" s="65">
        <f t="shared" si="1"/>
        <v>0</v>
      </c>
      <c r="T23" s="66">
        <f>SUMIFS([2]业务报告!X:X,[2]业务报告!$A:$A,$N23,[2]业务报告!$B:$B,$P$2)+SUMIFS([2]业务报告!X:X,[2]业务报告!$A:$A,$N23,[2]业务报告!$B:$B,$T$2)</f>
        <v>0</v>
      </c>
      <c r="U23" s="28">
        <f>SUMIFS([2]业务报告!AO:AO,[2]业务报告!$A:$A,$N23,[2]业务报告!$B:$B,$P$2)+SUMIFS([2]业务报告!AP:AP,[2]业务报告!$A:$A,$N23,[2]业务报告!$B:$B,$P$2)</f>
        <v>0</v>
      </c>
      <c r="V23" s="73">
        <f>SUMIFS([2]WT报告!I:I,[2]WT报告!$C:$C,$N23,[2]WT报告!$H:$H,$X$2)</f>
        <v>0</v>
      </c>
      <c r="W23" s="66">
        <f>SUMIFS([2]WT报告!Z:Z,[2]WT报告!$C:$C,$N23,[2]WT报告!$H:$H,$X$2)</f>
        <v>0</v>
      </c>
      <c r="X23" s="73">
        <f>SUMIFS([2]业务报告!AS:AS,[2]业务报告!$A:$A,$N23,[2]业务报告!$B:$B,$P$2)+SUMIFS([2]业务报告!AS:AS,[2]业务报告!$A:$A,$N23,[2]业务报告!$B:$B,$T$2)+V23</f>
        <v>0</v>
      </c>
      <c r="Y23" s="85">
        <f>SUMIFS([2]业务报告!AO:AO,[2]业务报告!$A:$A,$N23,[2]业务报告!$B:$B,$P$2)*SUMIFS([2]业务报告!AM:AM,[2]业务报告!$A:$A,$N23,[2]业务报告!$B:$B,$P$2)/$AC$2+SUMIFS([2]业务报告!AP:AP,[2]业务报告!$A:$A,$N23,[2]业务报告!$B:$B,$P$2)*SUMIFS([2]业务报告!AN:AN,[2]业务报告!$A:$A,$N23,[2]业务报告!$B:$B,$P$2)/$AC$2</f>
        <v>0</v>
      </c>
      <c r="Z23" s="86">
        <f>(I23*(1-$AD$2-4%-10%)-$AD$1-$AC$1/$AC$2)*BB23-BC23</f>
        <v>0</v>
      </c>
      <c r="AA23" s="87">
        <f>(I23*(1-$AD$2-4%-10%)-$AD$1-$AC$1/$AC$2)*(R23-IF(R23&gt;V23,SUMIFS([2]业务报告!AO:AO,[2]业务报告!$A:$A,$N23,[2]业务报告!$B:$B,$P$2),0))-BC23</f>
        <v>0</v>
      </c>
      <c r="AB23" s="88">
        <f t="shared" si="2"/>
        <v>0</v>
      </c>
      <c r="AC23" s="86">
        <f>AR23*(J23-$AC$1/$AC$2-J23*4%)-AS23</f>
        <v>0</v>
      </c>
      <c r="AD23" s="87">
        <f>(V23-IF(R23&lt;V23,SUMIFS([2]业务报告!AO:AO,[2]业务报告!$A:$A,$N23,[2]业务报告!$B:$B,$P$2),0))*(J23-$AC$1/$AC$2-J23*4%)-AS23</f>
        <v>0</v>
      </c>
      <c r="AE23" s="87" cm="1">
        <f t="array" ref="AE23">IFERROR(LOOKUP(1,0/(([2]业务报告!$A:$A=$N23)*([2]业务报告!$B:$B=$P$2)),[2]业务报告!AQ:AQ),0)*$AH$2</f>
        <v>0</v>
      </c>
      <c r="AF23" s="87" cm="1">
        <f t="array" ref="AF23">IFERROR(LOOKUP(1,0/(([2]业务报告!$A:$A=$N23)*([2]业务报告!$B:$B=$P$2)),[2]业务报告!AR:AR),0)*$AG$2</f>
        <v>0</v>
      </c>
      <c r="AG23" s="87">
        <f t="shared" si="3"/>
        <v>0</v>
      </c>
      <c r="AH23" s="88">
        <f t="shared" si="4"/>
        <v>0</v>
      </c>
      <c r="AI23" s="116">
        <f t="shared" si="5"/>
        <v>0</v>
      </c>
      <c r="AJ23" s="117">
        <f t="shared" si="6"/>
        <v>0</v>
      </c>
      <c r="AK23" s="122">
        <f t="shared" si="7"/>
        <v>0</v>
      </c>
      <c r="AL23" s="116">
        <f>SUMIFS([2]WT报告!S:S,[2]WT报告!$C:$C,$N23,[2]WT报告!$H:$H,$X$2)</f>
        <v>0</v>
      </c>
      <c r="AM23" s="123">
        <f t="shared" si="8"/>
        <v>0</v>
      </c>
      <c r="AN23" s="124">
        <f>SUMIFS([2]WT报告!N:N,[2]WT报告!$C:$C,$N23,[2]WT报告!$H:$H,$X$2)</f>
        <v>0</v>
      </c>
      <c r="AO23" s="117">
        <f t="shared" si="9"/>
        <v>0</v>
      </c>
      <c r="AP23" s="87">
        <f>SUMIFS([2]WT报告!P:P,[2]WT报告!$C:$C,$N23,[2]WT报告!$H:$H,$X$2)</f>
        <v>0</v>
      </c>
      <c r="AQ23" s="129">
        <f>SUMIFS([2]WT报告!Q:Q,[2]WT报告!$C:$C,$N23,[2]WT报告!$H:$H,$X$2)</f>
        <v>0</v>
      </c>
      <c r="AR23" s="87">
        <f>SUMIFS([2]WT报告!J:J,[2]WT报告!$C:$C,$N23,[2]WT报告!$H:$H,$X$2)</f>
        <v>0</v>
      </c>
      <c r="AS23" s="133">
        <f>SUMIFS([2]WT报告!M:M,[2]WT报告!$C:$C,$N23,[2]WT报告!$H:$H,$X$2)</f>
        <v>0</v>
      </c>
      <c r="AT23" s="134">
        <f t="shared" si="10"/>
        <v>0</v>
      </c>
      <c r="AU23" s="122">
        <f t="shared" si="11"/>
        <v>0</v>
      </c>
      <c r="AV23" s="133">
        <f t="shared" si="12"/>
        <v>0</v>
      </c>
      <c r="AW23" s="123">
        <f t="shared" si="13"/>
        <v>0</v>
      </c>
      <c r="AX23" s="124">
        <f t="shared" si="14"/>
        <v>0</v>
      </c>
      <c r="AY23" s="117">
        <f t="shared" si="15"/>
        <v>0</v>
      </c>
      <c r="AZ23" s="122">
        <f t="shared" si="16"/>
        <v>0</v>
      </c>
      <c r="BA23" s="142">
        <f t="shared" si="17"/>
        <v>0</v>
      </c>
      <c r="BB23" s="122">
        <f t="shared" si="18"/>
        <v>0</v>
      </c>
      <c r="BC23" s="133">
        <f t="shared" si="19"/>
        <v>0</v>
      </c>
      <c r="BD23" s="123">
        <f t="shared" si="20"/>
        <v>0</v>
      </c>
      <c r="BE23" s="150">
        <f t="shared" si="21"/>
        <v>0</v>
      </c>
      <c r="BF23" s="123">
        <f t="shared" si="22"/>
        <v>0</v>
      </c>
      <c r="BG23" s="122">
        <f t="shared" si="23"/>
        <v>0</v>
      </c>
      <c r="BH23" s="122">
        <f>SUMIFS([2]SP!J:J,[2]SP!A:A,N23,[2]SP!H:H,$P$2)+SUMIFS([2]SP!J:J,[2]SP!A:A,N23,[2]SP!H:H,$T$2)</f>
        <v>0</v>
      </c>
      <c r="BI23" s="122">
        <f>SUMIFS([2]SP!K:K,[2]SP!A:A,N23,[2]SP!H:H,$P$2)+SUMIFS([2]SP!K:K,[2]SP!A:A,N23,[2]SP!H:H,$T$2)</f>
        <v>0</v>
      </c>
      <c r="BJ23" s="154">
        <f t="shared" si="24"/>
        <v>0</v>
      </c>
      <c r="BK23" s="124">
        <f t="shared" si="25"/>
        <v>0</v>
      </c>
      <c r="BL23" s="122">
        <f>SUMIFS([2]SP!R:R,[2]SP!A:A,N23,[2]SP!H:H,$P$2)+SUMIFS([2]SP!R:R,[2]SP!A:A,N23,[2]SP!H:H,$T$2)</f>
        <v>0</v>
      </c>
      <c r="BM23" s="124">
        <f>SUMIFS([2]SP!O:O,[2]SP!A:A,$N23,[2]SP!H:H,$P$2)+SUMIFS([2]SP!O:O,[2]SP!A:A,$N23,[2]SP!H:H,$T$2)</f>
        <v>0</v>
      </c>
      <c r="BN23" s="160">
        <f t="shared" si="26"/>
        <v>0</v>
      </c>
      <c r="BO23" s="122">
        <f>SUMIFS([2]SP!N:N,[2]SP!A:A,N23,[2]SP!H:H,$P$2)+SUMIFS([2]SP!N:N,[2]SP!A:A,N23,[2]SP!H:H,$T$2)</f>
        <v>0</v>
      </c>
      <c r="BP23" s="161">
        <f t="shared" si="27"/>
        <v>0</v>
      </c>
      <c r="BQ23" s="122">
        <f>SUMIFS([2]SD!J:J,[2]SD!A:A,N23,[2]SD!H:H,$P$2)+SUMIFS([2]SD!J:J,[2]SD!A:A,N23,[2]SD!H:H,$T$2)</f>
        <v>0</v>
      </c>
      <c r="BR23" s="122">
        <f>SUMIFS([2]SD!L:L,[2]SD!A:A,N23,[2]SD!H:H,$P$2)+SUMIFS([2]SD!L:L,[2]SD!A:A,N23,[2]SD!H:H,$T$2)</f>
        <v>0</v>
      </c>
      <c r="BS23" s="154">
        <f t="shared" si="28"/>
        <v>0</v>
      </c>
      <c r="BT23" s="124">
        <f t="shared" si="29"/>
        <v>0</v>
      </c>
      <c r="BU23" s="122">
        <f>SUMIFS([2]SD!U:U,[2]SD!A:A,N23,[2]SD!H:H,$P$2)+SUMIFS([2]SD!U:U,[2]SD!A:A,N23,[2]SD!H:H,$T$2)</f>
        <v>0</v>
      </c>
      <c r="BV23" s="124">
        <f>SUMIFS([2]SD!V:V,[2]SD!A:A,N23,[2]SD!H:H,$P$2)+SUMIFS([2]SD!V:V,[2]SD!A:A,N23,[2]SD!H:H,$T$2)</f>
        <v>0</v>
      </c>
      <c r="BW23" s="160">
        <f t="shared" si="30"/>
        <v>0</v>
      </c>
      <c r="BX23" s="124">
        <f>SUMIFS([2]SD!O:O,[2]SD!A:A,N23,[2]SD!H:H,$P$2)+SUMIFS([2]SD!O:O,[2]SD!A:A,N23,[2]SD!H:H,$T$2)</f>
        <v>0</v>
      </c>
      <c r="BY23" s="161">
        <f t="shared" si="31"/>
        <v>0</v>
      </c>
      <c r="BZ23" s="122">
        <f>SUMIFS([2]SB!H:H,[2]SB!B:B,N23,[2]SB!A:A,$P$2)+SUMIFS([2]SB!H:H,[2]SB!B:B,N23,[2]SB!A:A,$T$2)</f>
        <v>0</v>
      </c>
      <c r="CA23" s="122">
        <f>SUMIFS([2]SB!I:I,[2]SB!B:B,N23,[2]SB!A:A,$P$2)+SUMIFS([2]SB!I:I,[2]SB!B:B,N23,[2]SB!A:A,$T$2)</f>
        <v>0</v>
      </c>
      <c r="CB23" s="154">
        <f t="shared" si="32"/>
        <v>0</v>
      </c>
      <c r="CC23" s="124">
        <f t="shared" si="33"/>
        <v>0</v>
      </c>
      <c r="CD23" s="122">
        <f>SUMIFS([2]SB!Q:Q,[2]SB!B:B,N23,[2]SB!A:A,$P$2)+SUMIFS([2]SB!Q:Q,[2]SB!B:B,N23,[2]SB!A:A,$T$2)</f>
        <v>0</v>
      </c>
      <c r="CE23" s="124">
        <f>SUMIFS([2]SB!O:O,[2]SB!B:B,N23,[2]SB!A:A,$P$2)+SUMIFS([2]SB!O:O,[2]SB!B:B,N23,[2]SB!A:A,$T$2)</f>
        <v>0</v>
      </c>
      <c r="CF23" s="160">
        <f t="shared" si="34"/>
        <v>0</v>
      </c>
      <c r="CG23" s="124">
        <f>SUMIFS([2]SB!L:L,[2]SB!B:B,N23,[2]SB!A:A,$P$2)+SUMIFS([2]SB!L:L,[2]SB!B:B,N23,[2]SB!A:A,$T$2)</f>
        <v>0</v>
      </c>
      <c r="CH23" s="161">
        <f t="shared" si="35"/>
        <v>0</v>
      </c>
    </row>
    <row r="24" s="1" customFormat="1" ht="20" hidden="1" customHeight="1" spans="1:86">
      <c r="A24" s="17" t="str" cm="1">
        <f t="array" ref="A24">IFERROR(LOOKUP(1,0/(([2]业务报告!$A:$A=$N24)*([2]业务报告!$B:$B=$P$2)),[2]业务报告!AU:AU),"")</f>
        <v/>
      </c>
      <c r="B24" s="17" t="str" cm="1">
        <f t="array" ref="B24">IFERROR(LOOKUP(1,0/(([2]业务报告!$A:$A=$N24)*([2]业务报告!$B:$B=$P$2)),[2]业务报告!AV:AV),"")</f>
        <v/>
      </c>
      <c r="C24" s="20">
        <f>SUMIFS([2]业务报告!AC:AC,[2]业务报告!$A:$A,$N24,[2]业务报告!$B:$B,$P$2)</f>
        <v>0</v>
      </c>
      <c r="D24" s="21">
        <f>SUMIFS([2]业务报告!AD:AD,[2]业务报告!$A:$A,$N24,[2]业务报告!$B:$B,$P$2)</f>
        <v>0</v>
      </c>
      <c r="E24" s="20" t="str" cm="1">
        <f t="array" ref="E24">_xlfn.XLOOKUP($N24&amp;$P$2,[2]业务报告!$A:$A&amp;[2]业务报告!$B:$B,[2]业务报告!AE:AE,"")</f>
        <v/>
      </c>
      <c r="F24" s="28" cm="1">
        <f t="array" ref="F24">IFERROR(LOOKUP(1,0/(([2]业务报告!$A:$A=$N24)*([2]业务报告!$B:$B=$P$2)),[2]业务报告!AK:AK),0)</f>
        <v>0</v>
      </c>
      <c r="G24" s="29">
        <f>SUMIFS([2]业务报告!AF:AF,[2]业务报告!$A:$A,$N24,[2]业务报告!$B:$B,$P$2)</f>
        <v>0</v>
      </c>
      <c r="H24" s="30" cm="1">
        <f t="array" ref="H24">IFERROR(LOOKUP(1,0/(([2]业务报告!$A:$A=$N24)*([2]业务报告!B:B=$P$2)),[2]业务报告!AG:AG),0)</f>
        <v>0</v>
      </c>
      <c r="I24" s="30" cm="1">
        <f t="array" ref="I24">IFERROR(LOOKUP(1,0/(([2]业务报告!$A:$A=$N24)*([2]业务报告!$B:$B=$P$2)),[2]业务报告!AH:AH),0)</f>
        <v>0</v>
      </c>
      <c r="J24" s="30">
        <f>SUMIFS([2]WT报告!A:A,[2]WT报告!$C:$C,$N24,[2]WT报告!$H:$H,$X$2)</f>
        <v>0</v>
      </c>
      <c r="K24" s="28" cm="1">
        <f t="array" ref="K24">IFERROR(LOOKUP(1,0/(([2]业务报告!$A:$A=$N24)*([2]业务报告!$B:$B=$P$2)),[2]业务报告!AI:AI),0)</f>
        <v>0</v>
      </c>
      <c r="L24" s="28" cm="1">
        <f t="array" ref="L24">IFERROR(LOOKUP(1,0/(([2]业务报告!$A:$A=$N24)*([2]业务报告!$B:$B=$P$2)),[2]业务报告!AJ:AJ),0)</f>
        <v>0</v>
      </c>
      <c r="M24" s="49" t="str">
        <f t="shared" si="0"/>
        <v>周6</v>
      </c>
      <c r="N24" s="52">
        <f>DATE($O$1,$O$2,DAY(N23)+1)</f>
        <v>45920</v>
      </c>
      <c r="O24" s="51">
        <f>SUMIFS([2]业务报告!G:G,[2]业务报告!$A:$A,$N24,[2]业务报告!$B:$B,$P$2)+SUMIFS([2]业务报告!G:G,[2]业务报告!$A:$A,$N24,[2]业务报告!$B:$B,$T$2)</f>
        <v>0</v>
      </c>
      <c r="P24" s="51">
        <f>SUMIFS([2]业务报告!H:H,[2]业务报告!$A:$A,$N24,[2]业务报告!$B:$B,$P$2)+SUMIFS([2]业务报告!H:H,[2]业务报告!$A:$A,$N24,[2]业务报告!$B:$B,$T$2)</f>
        <v>0</v>
      </c>
      <c r="Q24" s="51">
        <f>SUMIFS([2]业务报告!I:I,[2]业务报告!$A:$A,$N24,[2]业务报告!$B:$B,$P$2)+SUMIFS([2]业务报告!I:I,[2]业务报告!$A:$A,$N24,[2]业务报告!$B:$B,$T$2)</f>
        <v>0</v>
      </c>
      <c r="R24" s="51">
        <f>SUMIFS([2]业务报告!T:T,[2]业务报告!$A:$A,$N24,[2]业务报告!$B:$B,$P$2)+SUMIFS([2]业务报告!T:T,[2]业务报告!$A:$A,$N24,[2]业务报告!$B:$B,$T$2)</f>
        <v>0</v>
      </c>
      <c r="S24" s="65">
        <f t="shared" si="1"/>
        <v>0</v>
      </c>
      <c r="T24" s="66">
        <f>SUMIFS([2]业务报告!X:X,[2]业务报告!$A:$A,$N24,[2]业务报告!$B:$B,$P$2)+SUMIFS([2]业务报告!X:X,[2]业务报告!$A:$A,$N24,[2]业务报告!$B:$B,$T$2)</f>
        <v>0</v>
      </c>
      <c r="U24" s="28">
        <f>SUMIFS([2]业务报告!AO:AO,[2]业务报告!$A:$A,$N24,[2]业务报告!$B:$B,$P$2)+SUMIFS([2]业务报告!AP:AP,[2]业务报告!$A:$A,$N24,[2]业务报告!$B:$B,$P$2)</f>
        <v>0</v>
      </c>
      <c r="V24" s="73">
        <f>SUMIFS([2]WT报告!I:I,[2]WT报告!$C:$C,$N24,[2]WT报告!$H:$H,$X$2)</f>
        <v>0</v>
      </c>
      <c r="W24" s="66">
        <f>SUMIFS([2]WT报告!Z:Z,[2]WT报告!$C:$C,$N24,[2]WT报告!$H:$H,$X$2)</f>
        <v>0</v>
      </c>
      <c r="X24" s="73">
        <f>SUMIFS([2]业务报告!AS:AS,[2]业务报告!$A:$A,$N24,[2]业务报告!$B:$B,$P$2)+SUMIFS([2]业务报告!AS:AS,[2]业务报告!$A:$A,$N24,[2]业务报告!$B:$B,$T$2)+V24</f>
        <v>0</v>
      </c>
      <c r="Y24" s="85">
        <f>SUMIFS([2]业务报告!AO:AO,[2]业务报告!$A:$A,$N24,[2]业务报告!$B:$B,$P$2)*SUMIFS([2]业务报告!AM:AM,[2]业务报告!$A:$A,$N24,[2]业务报告!$B:$B,$P$2)/$AC$2+SUMIFS([2]业务报告!AP:AP,[2]业务报告!$A:$A,$N24,[2]业务报告!$B:$B,$P$2)*SUMIFS([2]业务报告!AN:AN,[2]业务报告!$A:$A,$N24,[2]业务报告!$B:$B,$P$2)/$AC$2</f>
        <v>0</v>
      </c>
      <c r="Z24" s="86">
        <f>(I24*(1-$AD$2-4%-10%)-$AD$1-$AC$1/$AC$2)*BB24-BC24</f>
        <v>0</v>
      </c>
      <c r="AA24" s="87">
        <f>(I24*(1-$AD$2-4%-10%)-$AD$1-$AC$1/$AC$2)*(R24-IF(R24&gt;V24,SUMIFS([2]业务报告!AO:AO,[2]业务报告!$A:$A,$N24,[2]业务报告!$B:$B,$P$2),0))-BC24</f>
        <v>0</v>
      </c>
      <c r="AB24" s="88">
        <f t="shared" si="2"/>
        <v>0</v>
      </c>
      <c r="AC24" s="86">
        <f>AR24*(J24-$AC$1/$AC$2-J24*4%)-AS24</f>
        <v>0</v>
      </c>
      <c r="AD24" s="87">
        <f>(V24-IF(R24&lt;V24,SUMIFS([2]业务报告!AO:AO,[2]业务报告!$A:$A,$N24,[2]业务报告!$B:$B,$P$2),0))*(J24-$AC$1/$AC$2-J24*4%)-AS24</f>
        <v>0</v>
      </c>
      <c r="AE24" s="87" cm="1">
        <f t="array" ref="AE24">IFERROR(LOOKUP(1,0/(([2]业务报告!$A:$A=$N24)*([2]业务报告!$B:$B=$P$2)),[2]业务报告!AQ:AQ),0)*$AH$2</f>
        <v>0</v>
      </c>
      <c r="AF24" s="87" cm="1">
        <f t="array" ref="AF24">IFERROR(LOOKUP(1,0/(([2]业务报告!$A:$A=$N24)*([2]业务报告!$B:$B=$P$2)),[2]业务报告!AR:AR),0)*$AG$2</f>
        <v>0</v>
      </c>
      <c r="AG24" s="87">
        <f t="shared" si="3"/>
        <v>0</v>
      </c>
      <c r="AH24" s="88">
        <f t="shared" si="4"/>
        <v>0</v>
      </c>
      <c r="AI24" s="116">
        <f t="shared" si="5"/>
        <v>0</v>
      </c>
      <c r="AJ24" s="117">
        <f t="shared" si="6"/>
        <v>0</v>
      </c>
      <c r="AK24" s="122">
        <f t="shared" si="7"/>
        <v>0</v>
      </c>
      <c r="AL24" s="116">
        <f>SUMIFS([2]WT报告!S:S,[2]WT报告!$C:$C,$N24,[2]WT报告!$H:$H,$X$2)</f>
        <v>0</v>
      </c>
      <c r="AM24" s="123">
        <f t="shared" si="8"/>
        <v>0</v>
      </c>
      <c r="AN24" s="124">
        <f>SUMIFS([2]WT报告!N:N,[2]WT报告!$C:$C,$N24,[2]WT报告!$H:$H,$X$2)</f>
        <v>0</v>
      </c>
      <c r="AO24" s="117">
        <f t="shared" si="9"/>
        <v>0</v>
      </c>
      <c r="AP24" s="87">
        <f>SUMIFS([2]WT报告!P:P,[2]WT报告!$C:$C,$N24,[2]WT报告!$H:$H,$X$2)</f>
        <v>0</v>
      </c>
      <c r="AQ24" s="129">
        <f>SUMIFS([2]WT报告!Q:Q,[2]WT报告!$C:$C,$N24,[2]WT报告!$H:$H,$X$2)</f>
        <v>0</v>
      </c>
      <c r="AR24" s="87">
        <f>SUMIFS([2]WT报告!J:J,[2]WT报告!$C:$C,$N24,[2]WT报告!$H:$H,$X$2)</f>
        <v>0</v>
      </c>
      <c r="AS24" s="133">
        <f>SUMIFS([2]WT报告!M:M,[2]WT报告!$C:$C,$N24,[2]WT报告!$H:$H,$X$2)</f>
        <v>0</v>
      </c>
      <c r="AT24" s="134">
        <f t="shared" si="10"/>
        <v>0</v>
      </c>
      <c r="AU24" s="122">
        <f t="shared" si="11"/>
        <v>0</v>
      </c>
      <c r="AV24" s="133">
        <f t="shared" si="12"/>
        <v>0</v>
      </c>
      <c r="AW24" s="123">
        <f t="shared" si="13"/>
        <v>0</v>
      </c>
      <c r="AX24" s="124">
        <f t="shared" si="14"/>
        <v>0</v>
      </c>
      <c r="AY24" s="117">
        <f t="shared" si="15"/>
        <v>0</v>
      </c>
      <c r="AZ24" s="122">
        <f t="shared" si="16"/>
        <v>0</v>
      </c>
      <c r="BA24" s="142">
        <f t="shared" si="17"/>
        <v>0</v>
      </c>
      <c r="BB24" s="122">
        <f t="shared" si="18"/>
        <v>0</v>
      </c>
      <c r="BC24" s="133">
        <f t="shared" si="19"/>
        <v>0</v>
      </c>
      <c r="BD24" s="123">
        <f t="shared" si="20"/>
        <v>0</v>
      </c>
      <c r="BE24" s="150">
        <f t="shared" si="21"/>
        <v>0</v>
      </c>
      <c r="BF24" s="123">
        <f t="shared" si="22"/>
        <v>0</v>
      </c>
      <c r="BG24" s="122">
        <f t="shared" si="23"/>
        <v>0</v>
      </c>
      <c r="BH24" s="122">
        <f>SUMIFS([2]SP!J:J,[2]SP!A:A,N24,[2]SP!H:H,$P$2)+SUMIFS([2]SP!J:J,[2]SP!A:A,N24,[2]SP!H:H,$T$2)</f>
        <v>0</v>
      </c>
      <c r="BI24" s="122">
        <f>SUMIFS([2]SP!K:K,[2]SP!A:A,N24,[2]SP!H:H,$P$2)+SUMIFS([2]SP!K:K,[2]SP!A:A,N24,[2]SP!H:H,$T$2)</f>
        <v>0</v>
      </c>
      <c r="BJ24" s="154">
        <f t="shared" si="24"/>
        <v>0</v>
      </c>
      <c r="BK24" s="124">
        <f t="shared" si="25"/>
        <v>0</v>
      </c>
      <c r="BL24" s="122">
        <f>SUMIFS([2]SP!R:R,[2]SP!A:A,N24,[2]SP!H:H,$P$2)+SUMIFS([2]SP!R:R,[2]SP!A:A,N24,[2]SP!H:H,$T$2)</f>
        <v>0</v>
      </c>
      <c r="BM24" s="124">
        <f>SUMIFS([2]SP!O:O,[2]SP!A:A,$N24,[2]SP!H:H,$P$2)+SUMIFS([2]SP!O:O,[2]SP!A:A,$N24,[2]SP!H:H,$T$2)</f>
        <v>0</v>
      </c>
      <c r="BN24" s="160">
        <f t="shared" si="26"/>
        <v>0</v>
      </c>
      <c r="BO24" s="122">
        <f>SUMIFS([2]SP!N:N,[2]SP!A:A,N24,[2]SP!H:H,$P$2)+SUMIFS([2]SP!N:N,[2]SP!A:A,N24,[2]SP!H:H,$T$2)</f>
        <v>0</v>
      </c>
      <c r="BP24" s="161">
        <f t="shared" si="27"/>
        <v>0</v>
      </c>
      <c r="BQ24" s="122">
        <f>SUMIFS([2]SD!J:J,[2]SD!A:A,N24,[2]SD!H:H,$P$2)+SUMIFS([2]SD!J:J,[2]SD!A:A,N24,[2]SD!H:H,$T$2)</f>
        <v>0</v>
      </c>
      <c r="BR24" s="122">
        <f>SUMIFS([2]SD!L:L,[2]SD!A:A,N24,[2]SD!H:H,$P$2)+SUMIFS([2]SD!L:L,[2]SD!A:A,N24,[2]SD!H:H,$T$2)</f>
        <v>0</v>
      </c>
      <c r="BS24" s="154">
        <f t="shared" si="28"/>
        <v>0</v>
      </c>
      <c r="BT24" s="124">
        <f t="shared" si="29"/>
        <v>0</v>
      </c>
      <c r="BU24" s="122">
        <f>SUMIFS([2]SD!U:U,[2]SD!A:A,N24,[2]SD!H:H,$P$2)+SUMIFS([2]SD!U:U,[2]SD!A:A,N24,[2]SD!H:H,$T$2)</f>
        <v>0</v>
      </c>
      <c r="BV24" s="124">
        <f>SUMIFS([2]SD!V:V,[2]SD!A:A,N24,[2]SD!H:H,$P$2)+SUMIFS([2]SD!V:V,[2]SD!A:A,N24,[2]SD!H:H,$T$2)</f>
        <v>0</v>
      </c>
      <c r="BW24" s="160">
        <f t="shared" si="30"/>
        <v>0</v>
      </c>
      <c r="BX24" s="124">
        <f>SUMIFS([2]SD!O:O,[2]SD!A:A,N24,[2]SD!H:H,$P$2)+SUMIFS([2]SD!O:O,[2]SD!A:A,N24,[2]SD!H:H,$T$2)</f>
        <v>0</v>
      </c>
      <c r="BY24" s="161">
        <f t="shared" si="31"/>
        <v>0</v>
      </c>
      <c r="BZ24" s="122">
        <f>SUMIFS([2]SB!H:H,[2]SB!B:B,N24,[2]SB!A:A,$P$2)+SUMIFS([2]SB!H:H,[2]SB!B:B,N24,[2]SB!A:A,$T$2)</f>
        <v>0</v>
      </c>
      <c r="CA24" s="122">
        <f>SUMIFS([2]SB!I:I,[2]SB!B:B,N24,[2]SB!A:A,$P$2)+SUMIFS([2]SB!I:I,[2]SB!B:B,N24,[2]SB!A:A,$T$2)</f>
        <v>0</v>
      </c>
      <c r="CB24" s="154">
        <f t="shared" si="32"/>
        <v>0</v>
      </c>
      <c r="CC24" s="124">
        <f t="shared" si="33"/>
        <v>0</v>
      </c>
      <c r="CD24" s="122">
        <f>SUMIFS([2]SB!Q:Q,[2]SB!B:B,N24,[2]SB!A:A,$P$2)+SUMIFS([2]SB!Q:Q,[2]SB!B:B,N24,[2]SB!A:A,$T$2)</f>
        <v>0</v>
      </c>
      <c r="CE24" s="124">
        <f>SUMIFS([2]SB!O:O,[2]SB!B:B,N24,[2]SB!A:A,$P$2)+SUMIFS([2]SB!O:O,[2]SB!B:B,N24,[2]SB!A:A,$T$2)</f>
        <v>0</v>
      </c>
      <c r="CF24" s="160">
        <f t="shared" si="34"/>
        <v>0</v>
      </c>
      <c r="CG24" s="124">
        <f>SUMIFS([2]SB!L:L,[2]SB!B:B,N24,[2]SB!A:A,$P$2)+SUMIFS([2]SB!L:L,[2]SB!B:B,N24,[2]SB!A:A,$T$2)</f>
        <v>0</v>
      </c>
      <c r="CH24" s="161">
        <f t="shared" si="35"/>
        <v>0</v>
      </c>
    </row>
    <row r="25" s="1" customFormat="1" ht="20" hidden="1" customHeight="1" spans="1:86">
      <c r="A25" s="17" t="str" cm="1">
        <f t="array" ref="A25">IFERROR(LOOKUP(1,0/(([2]业务报告!$A:$A=$N25)*([2]业务报告!$B:$B=$P$2)),[2]业务报告!AU:AU),"")</f>
        <v/>
      </c>
      <c r="B25" s="17" t="str" cm="1">
        <f t="array" ref="B25">IFERROR(LOOKUP(1,0/(([2]业务报告!$A:$A=$N25)*([2]业务报告!$B:$B=$P$2)),[2]业务报告!AV:AV),"")</f>
        <v/>
      </c>
      <c r="C25" s="20">
        <f>SUMIFS([2]业务报告!AC:AC,[2]业务报告!$A:$A,$N25,[2]业务报告!$B:$B,$P$2)</f>
        <v>0</v>
      </c>
      <c r="D25" s="21">
        <f>SUMIFS([2]业务报告!AD:AD,[2]业务报告!$A:$A,$N25,[2]业务报告!$B:$B,$P$2)</f>
        <v>0</v>
      </c>
      <c r="E25" s="20" t="str" cm="1">
        <f t="array" ref="E25">_xlfn.XLOOKUP($N25&amp;$P$2,[2]业务报告!$A:$A&amp;[2]业务报告!$B:$B,[2]业务报告!AE:AE,"")</f>
        <v/>
      </c>
      <c r="F25" s="28" cm="1">
        <f t="array" ref="F25">IFERROR(LOOKUP(1,0/(([2]业务报告!$A:$A=$N25)*([2]业务报告!$B:$B=$P$2)),[2]业务报告!AK:AK),0)</f>
        <v>0</v>
      </c>
      <c r="G25" s="29">
        <f>SUMIFS([2]业务报告!AF:AF,[2]业务报告!$A:$A,$N25,[2]业务报告!$B:$B,$P$2)</f>
        <v>0</v>
      </c>
      <c r="H25" s="30" cm="1">
        <f t="array" ref="H25">IFERROR(LOOKUP(1,0/(([2]业务报告!$A:$A=$N25)*([2]业务报告!B:B=$P$2)),[2]业务报告!AG:AG),0)</f>
        <v>0</v>
      </c>
      <c r="I25" s="30" cm="1">
        <f t="array" ref="I25">IFERROR(LOOKUP(1,0/(([2]业务报告!$A:$A=$N25)*([2]业务报告!$B:$B=$P$2)),[2]业务报告!AH:AH),0)</f>
        <v>0</v>
      </c>
      <c r="J25" s="30">
        <f>SUMIFS([2]WT报告!A:A,[2]WT报告!$C:$C,$N25,[2]WT报告!$H:$H,$X$2)</f>
        <v>0</v>
      </c>
      <c r="K25" s="28" cm="1">
        <f t="array" ref="K25">IFERROR(LOOKUP(1,0/(([2]业务报告!$A:$A=$N25)*([2]业务报告!$B:$B=$P$2)),[2]业务报告!AI:AI),0)</f>
        <v>0</v>
      </c>
      <c r="L25" s="28" cm="1">
        <f t="array" ref="L25">IFERROR(LOOKUP(1,0/(([2]业务报告!$A:$A=$N25)*([2]业务报告!$B:$B=$P$2)),[2]业务报告!AJ:AJ),0)</f>
        <v>0</v>
      </c>
      <c r="M25" s="49" t="str">
        <f t="shared" si="0"/>
        <v>周7</v>
      </c>
      <c r="N25" s="50">
        <f>DATE($O$1,$O$2,DAY(N24)+1)</f>
        <v>45921</v>
      </c>
      <c r="O25" s="51">
        <f>SUMIFS([2]业务报告!G:G,[2]业务报告!$A:$A,$N25,[2]业务报告!$B:$B,$P$2)+SUMIFS([2]业务报告!G:G,[2]业务报告!$A:$A,$N25,[2]业务报告!$B:$B,$T$2)</f>
        <v>0</v>
      </c>
      <c r="P25" s="51">
        <f>SUMIFS([2]业务报告!H:H,[2]业务报告!$A:$A,$N25,[2]业务报告!$B:$B,$P$2)+SUMIFS([2]业务报告!H:H,[2]业务报告!$A:$A,$N25,[2]业务报告!$B:$B,$T$2)</f>
        <v>0</v>
      </c>
      <c r="Q25" s="51">
        <f>SUMIFS([2]业务报告!I:I,[2]业务报告!$A:$A,$N25,[2]业务报告!$B:$B,$P$2)+SUMIFS([2]业务报告!I:I,[2]业务报告!$A:$A,$N25,[2]业务报告!$B:$B,$T$2)</f>
        <v>0</v>
      </c>
      <c r="R25" s="51">
        <f>SUMIFS([2]业务报告!T:T,[2]业务报告!$A:$A,$N25,[2]业务报告!$B:$B,$P$2)+SUMIFS([2]业务报告!T:T,[2]业务报告!$A:$A,$N25,[2]业务报告!$B:$B,$T$2)</f>
        <v>0</v>
      </c>
      <c r="S25" s="65">
        <f t="shared" si="1"/>
        <v>0</v>
      </c>
      <c r="T25" s="66">
        <f>SUMIFS([2]业务报告!X:X,[2]业务报告!$A:$A,$N25,[2]业务报告!$B:$B,$P$2)+SUMIFS([2]业务报告!X:X,[2]业务报告!$A:$A,$N25,[2]业务报告!$B:$B,$T$2)</f>
        <v>0</v>
      </c>
      <c r="U25" s="28">
        <f>SUMIFS([2]业务报告!AO:AO,[2]业务报告!$A:$A,$N25,[2]业务报告!$B:$B,$P$2)+SUMIFS([2]业务报告!AP:AP,[2]业务报告!$A:$A,$N25,[2]业务报告!$B:$B,$P$2)</f>
        <v>0</v>
      </c>
      <c r="V25" s="73">
        <f>SUMIFS([2]WT报告!I:I,[2]WT报告!$C:$C,$N25,[2]WT报告!$H:$H,$X$2)</f>
        <v>0</v>
      </c>
      <c r="W25" s="66">
        <f>SUMIFS([2]WT报告!Z:Z,[2]WT报告!$C:$C,$N25,[2]WT报告!$H:$H,$X$2)</f>
        <v>0</v>
      </c>
      <c r="X25" s="73">
        <f>SUMIFS([2]业务报告!AS:AS,[2]业务报告!$A:$A,$N25,[2]业务报告!$B:$B,$P$2)+SUMIFS([2]业务报告!AS:AS,[2]业务报告!$A:$A,$N25,[2]业务报告!$B:$B,$T$2)+V25</f>
        <v>0</v>
      </c>
      <c r="Y25" s="85">
        <f>SUMIFS([2]业务报告!AO:AO,[2]业务报告!$A:$A,$N25,[2]业务报告!$B:$B,$P$2)*SUMIFS([2]业务报告!AM:AM,[2]业务报告!$A:$A,$N25,[2]业务报告!$B:$B,$P$2)/$AC$2+SUMIFS([2]业务报告!AP:AP,[2]业务报告!$A:$A,$N25,[2]业务报告!$B:$B,$P$2)*SUMIFS([2]业务报告!AN:AN,[2]业务报告!$A:$A,$N25,[2]业务报告!$B:$B,$P$2)/$AC$2</f>
        <v>0</v>
      </c>
      <c r="Z25" s="86">
        <f>(I25*(1-$AD$2-4%-10%)-$AD$1-$AC$1/$AC$2)*BB25-BC25</f>
        <v>0</v>
      </c>
      <c r="AA25" s="87">
        <f>(I25*(1-$AD$2-4%-10%)-$AD$1-$AC$1/$AC$2)*(R25-IF(R25&gt;V25,SUMIFS([2]业务报告!AO:AO,[2]业务报告!$A:$A,$N25,[2]业务报告!$B:$B,$P$2),0))-BC25</f>
        <v>0</v>
      </c>
      <c r="AB25" s="88">
        <f t="shared" si="2"/>
        <v>0</v>
      </c>
      <c r="AC25" s="86">
        <f>AR25*(J25-$AC$1/$AC$2-J25*4%)-AS25</f>
        <v>0</v>
      </c>
      <c r="AD25" s="87">
        <f>(V25-IF(R25&lt;V25,SUMIFS([2]业务报告!AO:AO,[2]业务报告!$A:$A,$N25,[2]业务报告!$B:$B,$P$2),0))*(J25-$AC$1/$AC$2-J25*4%)-AS25</f>
        <v>0</v>
      </c>
      <c r="AE25" s="87" cm="1">
        <f t="array" ref="AE25">IFERROR(LOOKUP(1,0/(([2]业务报告!$A:$A=$N25)*([2]业务报告!$B:$B=$P$2)),[2]业务报告!AQ:AQ),0)*$AH$2</f>
        <v>0</v>
      </c>
      <c r="AF25" s="87" cm="1">
        <f t="array" ref="AF25">IFERROR(LOOKUP(1,0/(([2]业务报告!$A:$A=$N25)*([2]业务报告!$B:$B=$P$2)),[2]业务报告!AR:AR),0)*$AG$2</f>
        <v>0</v>
      </c>
      <c r="AG25" s="87">
        <f t="shared" si="3"/>
        <v>0</v>
      </c>
      <c r="AH25" s="88">
        <f t="shared" si="4"/>
        <v>0</v>
      </c>
      <c r="AI25" s="116">
        <f t="shared" si="5"/>
        <v>0</v>
      </c>
      <c r="AJ25" s="117">
        <f t="shared" si="6"/>
        <v>0</v>
      </c>
      <c r="AK25" s="122">
        <f t="shared" si="7"/>
        <v>0</v>
      </c>
      <c r="AL25" s="116">
        <f>SUMIFS([2]WT报告!S:S,[2]WT报告!$C:$C,$N25,[2]WT报告!$H:$H,$X$2)</f>
        <v>0</v>
      </c>
      <c r="AM25" s="123">
        <f t="shared" si="8"/>
        <v>0</v>
      </c>
      <c r="AN25" s="124">
        <f>SUMIFS([2]WT报告!N:N,[2]WT报告!$C:$C,$N25,[2]WT报告!$H:$H,$X$2)</f>
        <v>0</v>
      </c>
      <c r="AO25" s="117">
        <f t="shared" si="9"/>
        <v>0</v>
      </c>
      <c r="AP25" s="87">
        <f>SUMIFS([2]WT报告!P:P,[2]WT报告!$C:$C,$N25,[2]WT报告!$H:$H,$X$2)</f>
        <v>0</v>
      </c>
      <c r="AQ25" s="129">
        <f>SUMIFS([2]WT报告!Q:Q,[2]WT报告!$C:$C,$N25,[2]WT报告!$H:$H,$X$2)</f>
        <v>0</v>
      </c>
      <c r="AR25" s="87">
        <f>SUMIFS([2]WT报告!J:J,[2]WT报告!$C:$C,$N25,[2]WT报告!$H:$H,$X$2)</f>
        <v>0</v>
      </c>
      <c r="AS25" s="133">
        <f>SUMIFS([2]WT报告!M:M,[2]WT报告!$C:$C,$N25,[2]WT报告!$H:$H,$X$2)</f>
        <v>0</v>
      </c>
      <c r="AT25" s="134">
        <f t="shared" si="10"/>
        <v>0</v>
      </c>
      <c r="AU25" s="122">
        <f t="shared" si="11"/>
        <v>0</v>
      </c>
      <c r="AV25" s="133">
        <f t="shared" si="12"/>
        <v>0</v>
      </c>
      <c r="AW25" s="123">
        <f t="shared" si="13"/>
        <v>0</v>
      </c>
      <c r="AX25" s="124">
        <f t="shared" si="14"/>
        <v>0</v>
      </c>
      <c r="AY25" s="117">
        <f t="shared" si="15"/>
        <v>0</v>
      </c>
      <c r="AZ25" s="122">
        <f t="shared" si="16"/>
        <v>0</v>
      </c>
      <c r="BA25" s="142">
        <f t="shared" si="17"/>
        <v>0</v>
      </c>
      <c r="BB25" s="122">
        <f t="shared" si="18"/>
        <v>0</v>
      </c>
      <c r="BC25" s="133">
        <f t="shared" si="19"/>
        <v>0</v>
      </c>
      <c r="BD25" s="123">
        <f t="shared" si="20"/>
        <v>0</v>
      </c>
      <c r="BE25" s="150">
        <f t="shared" si="21"/>
        <v>0</v>
      </c>
      <c r="BF25" s="123">
        <f t="shared" si="22"/>
        <v>0</v>
      </c>
      <c r="BG25" s="122">
        <f t="shared" si="23"/>
        <v>0</v>
      </c>
      <c r="BH25" s="122">
        <f>SUMIFS([2]SP!J:J,[2]SP!A:A,N25,[2]SP!H:H,$P$2)+SUMIFS([2]SP!J:J,[2]SP!A:A,N25,[2]SP!H:H,$T$2)</f>
        <v>0</v>
      </c>
      <c r="BI25" s="122">
        <f>SUMIFS([2]SP!K:K,[2]SP!A:A,N25,[2]SP!H:H,$P$2)+SUMIFS([2]SP!K:K,[2]SP!A:A,N25,[2]SP!H:H,$T$2)</f>
        <v>0</v>
      </c>
      <c r="BJ25" s="154">
        <f t="shared" si="24"/>
        <v>0</v>
      </c>
      <c r="BK25" s="124">
        <f t="shared" si="25"/>
        <v>0</v>
      </c>
      <c r="BL25" s="122">
        <f>SUMIFS([2]SP!R:R,[2]SP!A:A,N25,[2]SP!H:H,$P$2)+SUMIFS([2]SP!R:R,[2]SP!A:A,N25,[2]SP!H:H,$T$2)</f>
        <v>0</v>
      </c>
      <c r="BM25" s="124">
        <f>SUMIFS([2]SP!O:O,[2]SP!A:A,$N25,[2]SP!H:H,$P$2)+SUMIFS([2]SP!O:O,[2]SP!A:A,$N25,[2]SP!H:H,$T$2)</f>
        <v>0</v>
      </c>
      <c r="BN25" s="160">
        <f t="shared" si="26"/>
        <v>0</v>
      </c>
      <c r="BO25" s="122">
        <f>SUMIFS([2]SP!N:N,[2]SP!A:A,N25,[2]SP!H:H,$P$2)+SUMIFS([2]SP!N:N,[2]SP!A:A,N25,[2]SP!H:H,$T$2)</f>
        <v>0</v>
      </c>
      <c r="BP25" s="161">
        <f t="shared" si="27"/>
        <v>0</v>
      </c>
      <c r="BQ25" s="122">
        <f>SUMIFS([2]SD!J:J,[2]SD!A:A,N25,[2]SD!H:H,$P$2)+SUMIFS([2]SD!J:J,[2]SD!A:A,N25,[2]SD!H:H,$T$2)</f>
        <v>0</v>
      </c>
      <c r="BR25" s="122">
        <f>SUMIFS([2]SD!L:L,[2]SD!A:A,N25,[2]SD!H:H,$P$2)+SUMIFS([2]SD!L:L,[2]SD!A:A,N25,[2]SD!H:H,$T$2)</f>
        <v>0</v>
      </c>
      <c r="BS25" s="154">
        <f t="shared" si="28"/>
        <v>0</v>
      </c>
      <c r="BT25" s="124">
        <f t="shared" si="29"/>
        <v>0</v>
      </c>
      <c r="BU25" s="122">
        <f>SUMIFS([2]SD!U:U,[2]SD!A:A,N25,[2]SD!H:H,$P$2)+SUMIFS([2]SD!U:U,[2]SD!A:A,N25,[2]SD!H:H,$T$2)</f>
        <v>0</v>
      </c>
      <c r="BV25" s="124">
        <f>SUMIFS([2]SD!V:V,[2]SD!A:A,N25,[2]SD!H:H,$P$2)+SUMIFS([2]SD!V:V,[2]SD!A:A,N25,[2]SD!H:H,$T$2)</f>
        <v>0</v>
      </c>
      <c r="BW25" s="160">
        <f t="shared" si="30"/>
        <v>0</v>
      </c>
      <c r="BX25" s="124">
        <f>SUMIFS([2]SD!O:O,[2]SD!A:A,N25,[2]SD!H:H,$P$2)+SUMIFS([2]SD!O:O,[2]SD!A:A,N25,[2]SD!H:H,$T$2)</f>
        <v>0</v>
      </c>
      <c r="BY25" s="161">
        <f t="shared" si="31"/>
        <v>0</v>
      </c>
      <c r="BZ25" s="122">
        <f>SUMIFS([2]SB!H:H,[2]SB!B:B,N25,[2]SB!A:A,$P$2)+SUMIFS([2]SB!H:H,[2]SB!B:B,N25,[2]SB!A:A,$T$2)</f>
        <v>0</v>
      </c>
      <c r="CA25" s="122">
        <f>SUMIFS([2]SB!I:I,[2]SB!B:B,N25,[2]SB!A:A,$P$2)+SUMIFS([2]SB!I:I,[2]SB!B:B,N25,[2]SB!A:A,$T$2)</f>
        <v>0</v>
      </c>
      <c r="CB25" s="154">
        <f t="shared" si="32"/>
        <v>0</v>
      </c>
      <c r="CC25" s="124">
        <f t="shared" si="33"/>
        <v>0</v>
      </c>
      <c r="CD25" s="122">
        <f>SUMIFS([2]SB!Q:Q,[2]SB!B:B,N25,[2]SB!A:A,$P$2)+SUMIFS([2]SB!Q:Q,[2]SB!B:B,N25,[2]SB!A:A,$T$2)</f>
        <v>0</v>
      </c>
      <c r="CE25" s="124">
        <f>SUMIFS([2]SB!O:O,[2]SB!B:B,N25,[2]SB!A:A,$P$2)+SUMIFS([2]SB!O:O,[2]SB!B:B,N25,[2]SB!A:A,$T$2)</f>
        <v>0</v>
      </c>
      <c r="CF25" s="160">
        <f t="shared" si="34"/>
        <v>0</v>
      </c>
      <c r="CG25" s="124">
        <f>SUMIFS([2]SB!L:L,[2]SB!B:B,N25,[2]SB!A:A,$P$2)+SUMIFS([2]SB!L:L,[2]SB!B:B,N25,[2]SB!A:A,$T$2)</f>
        <v>0</v>
      </c>
      <c r="CH25" s="161">
        <f t="shared" si="35"/>
        <v>0</v>
      </c>
    </row>
    <row r="26" s="1" customFormat="1" ht="20" hidden="1" customHeight="1" spans="1:86">
      <c r="A26" s="17" t="str" cm="1">
        <f t="array" ref="A26">IFERROR(LOOKUP(1,0/(([2]业务报告!$A:$A=$N26)*([2]业务报告!$B:$B=$P$2)),[2]业务报告!AU:AU),"")</f>
        <v/>
      </c>
      <c r="B26" s="17" t="str" cm="1">
        <f t="array" ref="B26">IFERROR(LOOKUP(1,0/(([2]业务报告!$A:$A=$N26)*([2]业务报告!$B:$B=$P$2)),[2]业务报告!AV:AV),"")</f>
        <v/>
      </c>
      <c r="C26" s="20">
        <f>SUMIFS([2]业务报告!AC:AC,[2]业务报告!$A:$A,$N26,[2]业务报告!$B:$B,$P$2)</f>
        <v>0</v>
      </c>
      <c r="D26" s="21">
        <f>SUMIFS([2]业务报告!AD:AD,[2]业务报告!$A:$A,$N26,[2]业务报告!$B:$B,$P$2)</f>
        <v>0</v>
      </c>
      <c r="E26" s="20" t="str" cm="1">
        <f t="array" ref="E26">_xlfn.XLOOKUP($N26&amp;$P$2,[2]业务报告!$A:$A&amp;[2]业务报告!$B:$B,[2]业务报告!AE:AE,"")</f>
        <v/>
      </c>
      <c r="F26" s="28" cm="1">
        <f t="array" ref="F26">IFERROR(LOOKUP(1,0/(([2]业务报告!$A:$A=$N26)*([2]业务报告!$B:$B=$P$2)),[2]业务报告!AK:AK),0)</f>
        <v>0</v>
      </c>
      <c r="G26" s="29">
        <f>SUMIFS([2]业务报告!AF:AF,[2]业务报告!$A:$A,$N26,[2]业务报告!$B:$B,$P$2)</f>
        <v>0</v>
      </c>
      <c r="H26" s="30" cm="1">
        <f t="array" ref="H26">IFERROR(LOOKUP(1,0/(([2]业务报告!$A:$A=$N26)*([2]业务报告!B:B=$P$2)),[2]业务报告!AG:AG),0)</f>
        <v>0</v>
      </c>
      <c r="I26" s="30" cm="1">
        <f t="array" ref="I26">IFERROR(LOOKUP(1,0/(([2]业务报告!$A:$A=$N26)*([2]业务报告!$B:$B=$P$2)),[2]业务报告!AH:AH),0)</f>
        <v>0</v>
      </c>
      <c r="J26" s="30">
        <f>SUMIFS([2]WT报告!A:A,[2]WT报告!$C:$C,$N26,[2]WT报告!$H:$H,$X$2)</f>
        <v>0</v>
      </c>
      <c r="K26" s="28" cm="1">
        <f t="array" ref="K26">IFERROR(LOOKUP(1,0/(([2]业务报告!$A:$A=$N26)*([2]业务报告!$B:$B=$P$2)),[2]业务报告!AI:AI),0)</f>
        <v>0</v>
      </c>
      <c r="L26" s="28" cm="1">
        <f t="array" ref="L26">IFERROR(LOOKUP(1,0/(([2]业务报告!$A:$A=$N26)*([2]业务报告!$B:$B=$P$2)),[2]业务报告!AJ:AJ),0)</f>
        <v>0</v>
      </c>
      <c r="M26" s="49" t="str">
        <f t="shared" si="0"/>
        <v>周1</v>
      </c>
      <c r="N26" s="52">
        <f>DATE($O$1,$O$2,DAY(N25)+1)</f>
        <v>45922</v>
      </c>
      <c r="O26" s="51">
        <f>SUMIFS([2]业务报告!G:G,[2]业务报告!$A:$A,$N26,[2]业务报告!$B:$B,$P$2)+SUMIFS([2]业务报告!G:G,[2]业务报告!$A:$A,$N26,[2]业务报告!$B:$B,$T$2)</f>
        <v>0</v>
      </c>
      <c r="P26" s="51">
        <f>SUMIFS([2]业务报告!H:H,[2]业务报告!$A:$A,$N26,[2]业务报告!$B:$B,$P$2)+SUMIFS([2]业务报告!H:H,[2]业务报告!$A:$A,$N26,[2]业务报告!$B:$B,$T$2)</f>
        <v>0</v>
      </c>
      <c r="Q26" s="51">
        <f>SUMIFS([2]业务报告!I:I,[2]业务报告!$A:$A,$N26,[2]业务报告!$B:$B,$P$2)+SUMIFS([2]业务报告!I:I,[2]业务报告!$A:$A,$N26,[2]业务报告!$B:$B,$T$2)</f>
        <v>0</v>
      </c>
      <c r="R26" s="51">
        <f>SUMIFS([2]业务报告!T:T,[2]业务报告!$A:$A,$N26,[2]业务报告!$B:$B,$P$2)+SUMIFS([2]业务报告!T:T,[2]业务报告!$A:$A,$N26,[2]业务报告!$B:$B,$T$2)</f>
        <v>0</v>
      </c>
      <c r="S26" s="65">
        <f t="shared" si="1"/>
        <v>0</v>
      </c>
      <c r="T26" s="66">
        <f>SUMIFS([2]业务报告!X:X,[2]业务报告!$A:$A,$N26,[2]业务报告!$B:$B,$P$2)+SUMIFS([2]业务报告!X:X,[2]业务报告!$A:$A,$N26,[2]业务报告!$B:$B,$T$2)</f>
        <v>0</v>
      </c>
      <c r="U26" s="28">
        <f>SUMIFS([2]业务报告!AO:AO,[2]业务报告!$A:$A,$N26,[2]业务报告!$B:$B,$P$2)+SUMIFS([2]业务报告!AP:AP,[2]业务报告!$A:$A,$N26,[2]业务报告!$B:$B,$P$2)</f>
        <v>0</v>
      </c>
      <c r="V26" s="73">
        <f>SUMIFS([2]WT报告!I:I,[2]WT报告!$C:$C,$N26,[2]WT报告!$H:$H,$X$2)</f>
        <v>0</v>
      </c>
      <c r="W26" s="66">
        <f>SUMIFS([2]WT报告!Z:Z,[2]WT报告!$C:$C,$N26,[2]WT报告!$H:$H,$X$2)</f>
        <v>0</v>
      </c>
      <c r="X26" s="73">
        <f>SUMIFS([2]业务报告!AS:AS,[2]业务报告!$A:$A,$N26,[2]业务报告!$B:$B,$P$2)+SUMIFS([2]业务报告!AS:AS,[2]业务报告!$A:$A,$N26,[2]业务报告!$B:$B,$T$2)+V26</f>
        <v>0</v>
      </c>
      <c r="Y26" s="85">
        <f>SUMIFS([2]业务报告!AO:AO,[2]业务报告!$A:$A,$N26,[2]业务报告!$B:$B,$P$2)*SUMIFS([2]业务报告!AM:AM,[2]业务报告!$A:$A,$N26,[2]业务报告!$B:$B,$P$2)/$AC$2+SUMIFS([2]业务报告!AP:AP,[2]业务报告!$A:$A,$N26,[2]业务报告!$B:$B,$P$2)*SUMIFS([2]业务报告!AN:AN,[2]业务报告!$A:$A,$N26,[2]业务报告!$B:$B,$P$2)/$AC$2</f>
        <v>0</v>
      </c>
      <c r="Z26" s="86">
        <f>(I26*(1-$AD$2-4%-10%)-$AD$1-$AC$1/$AC$2)*BB26-BC26</f>
        <v>0</v>
      </c>
      <c r="AA26" s="87">
        <f>(I26*(1-$AD$2-4%-10%)-$AD$1-$AC$1/$AC$2)*(R26-IF(R26&gt;V26,SUMIFS([2]业务报告!AO:AO,[2]业务报告!$A:$A,$N26,[2]业务报告!$B:$B,$P$2),0))-BC26</f>
        <v>0</v>
      </c>
      <c r="AB26" s="88">
        <f t="shared" si="2"/>
        <v>0</v>
      </c>
      <c r="AC26" s="86">
        <f>AR26*(J26-$AC$1/$AC$2-J26*4%)-AS26</f>
        <v>0</v>
      </c>
      <c r="AD26" s="87">
        <f>(V26-IF(R26&lt;V26,SUMIFS([2]业务报告!AO:AO,[2]业务报告!$A:$A,$N26,[2]业务报告!$B:$B,$P$2),0))*(J26-$AC$1/$AC$2-J26*4%)-AS26</f>
        <v>0</v>
      </c>
      <c r="AE26" s="87" cm="1">
        <f t="array" ref="AE26">IFERROR(LOOKUP(1,0/(([2]业务报告!$A:$A=$N26)*([2]业务报告!$B:$B=$P$2)),[2]业务报告!AQ:AQ),0)*$AH$2</f>
        <v>0</v>
      </c>
      <c r="AF26" s="87" cm="1">
        <f t="array" ref="AF26">IFERROR(LOOKUP(1,0/(([2]业务报告!$A:$A=$N26)*([2]业务报告!$B:$B=$P$2)),[2]业务报告!AR:AR),0)*$AG$2</f>
        <v>0</v>
      </c>
      <c r="AG26" s="87">
        <f t="shared" si="3"/>
        <v>0</v>
      </c>
      <c r="AH26" s="88">
        <f t="shared" si="4"/>
        <v>0</v>
      </c>
      <c r="AI26" s="116">
        <f t="shared" si="5"/>
        <v>0</v>
      </c>
      <c r="AJ26" s="117">
        <f t="shared" si="6"/>
        <v>0</v>
      </c>
      <c r="AK26" s="122">
        <f t="shared" si="7"/>
        <v>0</v>
      </c>
      <c r="AL26" s="116">
        <f>SUMIFS([2]WT报告!S:S,[2]WT报告!$C:$C,$N26,[2]WT报告!$H:$H,$X$2)</f>
        <v>0</v>
      </c>
      <c r="AM26" s="123">
        <f t="shared" si="8"/>
        <v>0</v>
      </c>
      <c r="AN26" s="124">
        <f>SUMIFS([2]WT报告!N:N,[2]WT报告!$C:$C,$N26,[2]WT报告!$H:$H,$X$2)</f>
        <v>0</v>
      </c>
      <c r="AO26" s="117">
        <f t="shared" si="9"/>
        <v>0</v>
      </c>
      <c r="AP26" s="87">
        <f>SUMIFS([2]WT报告!P:P,[2]WT报告!$C:$C,$N26,[2]WT报告!$H:$H,$X$2)</f>
        <v>0</v>
      </c>
      <c r="AQ26" s="129">
        <f>SUMIFS([2]WT报告!Q:Q,[2]WT报告!$C:$C,$N26,[2]WT报告!$H:$H,$X$2)</f>
        <v>0</v>
      </c>
      <c r="AR26" s="87">
        <f>SUMIFS([2]WT报告!J:J,[2]WT报告!$C:$C,$N26,[2]WT报告!$H:$H,$X$2)</f>
        <v>0</v>
      </c>
      <c r="AS26" s="133">
        <f>SUMIFS([2]WT报告!M:M,[2]WT报告!$C:$C,$N26,[2]WT报告!$H:$H,$X$2)</f>
        <v>0</v>
      </c>
      <c r="AT26" s="134">
        <f t="shared" si="10"/>
        <v>0</v>
      </c>
      <c r="AU26" s="122">
        <f t="shared" si="11"/>
        <v>0</v>
      </c>
      <c r="AV26" s="133">
        <f t="shared" si="12"/>
        <v>0</v>
      </c>
      <c r="AW26" s="123">
        <f t="shared" si="13"/>
        <v>0</v>
      </c>
      <c r="AX26" s="124">
        <f t="shared" si="14"/>
        <v>0</v>
      </c>
      <c r="AY26" s="117">
        <f t="shared" si="15"/>
        <v>0</v>
      </c>
      <c r="AZ26" s="122">
        <f t="shared" si="16"/>
        <v>0</v>
      </c>
      <c r="BA26" s="142">
        <f t="shared" si="17"/>
        <v>0</v>
      </c>
      <c r="BB26" s="122">
        <f t="shared" si="18"/>
        <v>0</v>
      </c>
      <c r="BC26" s="133">
        <f t="shared" si="19"/>
        <v>0</v>
      </c>
      <c r="BD26" s="123">
        <f t="shared" si="20"/>
        <v>0</v>
      </c>
      <c r="BE26" s="150">
        <f t="shared" si="21"/>
        <v>0</v>
      </c>
      <c r="BF26" s="123">
        <f t="shared" si="22"/>
        <v>0</v>
      </c>
      <c r="BG26" s="122">
        <f t="shared" si="23"/>
        <v>0</v>
      </c>
      <c r="BH26" s="122">
        <f>SUMIFS([2]SP!J:J,[2]SP!A:A,N26,[2]SP!H:H,$P$2)+SUMIFS([2]SP!J:J,[2]SP!A:A,N26,[2]SP!H:H,$T$2)</f>
        <v>0</v>
      </c>
      <c r="BI26" s="122">
        <f>SUMIFS([2]SP!K:K,[2]SP!A:A,N26,[2]SP!H:H,$P$2)+SUMIFS([2]SP!K:K,[2]SP!A:A,N26,[2]SP!H:H,$T$2)</f>
        <v>0</v>
      </c>
      <c r="BJ26" s="154">
        <f t="shared" si="24"/>
        <v>0</v>
      </c>
      <c r="BK26" s="124">
        <f t="shared" si="25"/>
        <v>0</v>
      </c>
      <c r="BL26" s="122">
        <f>SUMIFS([2]SP!R:R,[2]SP!A:A,N26,[2]SP!H:H,$P$2)+SUMIFS([2]SP!R:R,[2]SP!A:A,N26,[2]SP!H:H,$T$2)</f>
        <v>0</v>
      </c>
      <c r="BM26" s="124">
        <f>SUMIFS([2]SP!O:O,[2]SP!A:A,$N26,[2]SP!H:H,$P$2)+SUMIFS([2]SP!O:O,[2]SP!A:A,$N26,[2]SP!H:H,$T$2)</f>
        <v>0</v>
      </c>
      <c r="BN26" s="160">
        <f t="shared" si="26"/>
        <v>0</v>
      </c>
      <c r="BO26" s="122">
        <f>SUMIFS([2]SP!N:N,[2]SP!A:A,N26,[2]SP!H:H,$P$2)+SUMIFS([2]SP!N:N,[2]SP!A:A,N26,[2]SP!H:H,$T$2)</f>
        <v>0</v>
      </c>
      <c r="BP26" s="161">
        <f t="shared" si="27"/>
        <v>0</v>
      </c>
      <c r="BQ26" s="122">
        <f>SUMIFS([2]SD!J:J,[2]SD!A:A,N26,[2]SD!H:H,$P$2)+SUMIFS([2]SD!J:J,[2]SD!A:A,N26,[2]SD!H:H,$T$2)</f>
        <v>0</v>
      </c>
      <c r="BR26" s="122">
        <f>SUMIFS([2]SD!L:L,[2]SD!A:A,N26,[2]SD!H:H,$P$2)+SUMIFS([2]SD!L:L,[2]SD!A:A,N26,[2]SD!H:H,$T$2)</f>
        <v>0</v>
      </c>
      <c r="BS26" s="154">
        <f t="shared" si="28"/>
        <v>0</v>
      </c>
      <c r="BT26" s="124">
        <f t="shared" si="29"/>
        <v>0</v>
      </c>
      <c r="BU26" s="122">
        <f>SUMIFS([2]SD!U:U,[2]SD!A:A,N26,[2]SD!H:H,$P$2)+SUMIFS([2]SD!U:U,[2]SD!A:A,N26,[2]SD!H:H,$T$2)</f>
        <v>0</v>
      </c>
      <c r="BV26" s="124">
        <f>SUMIFS([2]SD!V:V,[2]SD!A:A,N26,[2]SD!H:H,$P$2)+SUMIFS([2]SD!V:V,[2]SD!A:A,N26,[2]SD!H:H,$T$2)</f>
        <v>0</v>
      </c>
      <c r="BW26" s="160">
        <f t="shared" si="30"/>
        <v>0</v>
      </c>
      <c r="BX26" s="124">
        <f>SUMIFS([2]SD!O:O,[2]SD!A:A,N26,[2]SD!H:H,$P$2)+SUMIFS([2]SD!O:O,[2]SD!A:A,N26,[2]SD!H:H,$T$2)</f>
        <v>0</v>
      </c>
      <c r="BY26" s="161">
        <f t="shared" si="31"/>
        <v>0</v>
      </c>
      <c r="BZ26" s="122">
        <f>SUMIFS([2]SB!H:H,[2]SB!B:B,N26,[2]SB!A:A,$P$2)+SUMIFS([2]SB!H:H,[2]SB!B:B,N26,[2]SB!A:A,$T$2)</f>
        <v>0</v>
      </c>
      <c r="CA26" s="122">
        <f>SUMIFS([2]SB!I:I,[2]SB!B:B,N26,[2]SB!A:A,$P$2)+SUMIFS([2]SB!I:I,[2]SB!B:B,N26,[2]SB!A:A,$T$2)</f>
        <v>0</v>
      </c>
      <c r="CB26" s="154">
        <f t="shared" si="32"/>
        <v>0</v>
      </c>
      <c r="CC26" s="124">
        <f t="shared" si="33"/>
        <v>0</v>
      </c>
      <c r="CD26" s="122">
        <f>SUMIFS([2]SB!Q:Q,[2]SB!B:B,N26,[2]SB!A:A,$P$2)+SUMIFS([2]SB!Q:Q,[2]SB!B:B,N26,[2]SB!A:A,$T$2)</f>
        <v>0</v>
      </c>
      <c r="CE26" s="124">
        <f>SUMIFS([2]SB!O:O,[2]SB!B:B,N26,[2]SB!A:A,$P$2)+SUMIFS([2]SB!O:O,[2]SB!B:B,N26,[2]SB!A:A,$T$2)</f>
        <v>0</v>
      </c>
      <c r="CF26" s="160">
        <f t="shared" si="34"/>
        <v>0</v>
      </c>
      <c r="CG26" s="124">
        <f>SUMIFS([2]SB!L:L,[2]SB!B:B,N26,[2]SB!A:A,$P$2)+SUMIFS([2]SB!L:L,[2]SB!B:B,N26,[2]SB!A:A,$T$2)</f>
        <v>0</v>
      </c>
      <c r="CH26" s="161">
        <f t="shared" si="35"/>
        <v>0</v>
      </c>
    </row>
    <row r="27" s="1" customFormat="1" ht="20" hidden="1" customHeight="1" spans="1:86">
      <c r="A27" s="17" t="str" cm="1">
        <f t="array" ref="A27">IFERROR(LOOKUP(1,0/(([2]业务报告!$A:$A=$N27)*([2]业务报告!$B:$B=$P$2)),[2]业务报告!AU:AU),"")</f>
        <v/>
      </c>
      <c r="B27" s="17" t="str" cm="1">
        <f t="array" ref="B27">IFERROR(LOOKUP(1,0/(([2]业务报告!$A:$A=$N27)*([2]业务报告!$B:$B=$P$2)),[2]业务报告!AV:AV),"")</f>
        <v/>
      </c>
      <c r="C27" s="20">
        <f>SUMIFS([2]业务报告!AC:AC,[2]业务报告!$A:$A,$N27,[2]业务报告!$B:$B,$P$2)</f>
        <v>0</v>
      </c>
      <c r="D27" s="21">
        <f>SUMIFS([2]业务报告!AD:AD,[2]业务报告!$A:$A,$N27,[2]业务报告!$B:$B,$P$2)</f>
        <v>0</v>
      </c>
      <c r="E27" s="20" t="str" cm="1">
        <f t="array" ref="E27">_xlfn.XLOOKUP($N27&amp;$P$2,[2]业务报告!$A:$A&amp;[2]业务报告!$B:$B,[2]业务报告!AE:AE,"")</f>
        <v/>
      </c>
      <c r="F27" s="28" cm="1">
        <f t="array" ref="F27">IFERROR(LOOKUP(1,0/(([2]业务报告!$A:$A=$N27)*([2]业务报告!$B:$B=$P$2)),[2]业务报告!AK:AK),0)</f>
        <v>0</v>
      </c>
      <c r="G27" s="29">
        <f>SUMIFS([2]业务报告!AF:AF,[2]业务报告!$A:$A,$N27,[2]业务报告!$B:$B,$P$2)</f>
        <v>0</v>
      </c>
      <c r="H27" s="30" cm="1">
        <f t="array" ref="H27">IFERROR(LOOKUP(1,0/(([2]业务报告!$A:$A=$N27)*([2]业务报告!B:B=$P$2)),[2]业务报告!AG:AG),0)</f>
        <v>0</v>
      </c>
      <c r="I27" s="30" cm="1">
        <f t="array" ref="I27">IFERROR(LOOKUP(1,0/(([2]业务报告!$A:$A=$N27)*([2]业务报告!$B:$B=$P$2)),[2]业务报告!AH:AH),0)</f>
        <v>0</v>
      </c>
      <c r="J27" s="30">
        <f>SUMIFS([2]WT报告!A:A,[2]WT报告!$C:$C,$N27,[2]WT报告!$H:$H,$X$2)</f>
        <v>0</v>
      </c>
      <c r="K27" s="28" cm="1">
        <f t="array" ref="K27">IFERROR(LOOKUP(1,0/(([2]业务报告!$A:$A=$N27)*([2]业务报告!$B:$B=$P$2)),[2]业务报告!AI:AI),0)</f>
        <v>0</v>
      </c>
      <c r="L27" s="28" cm="1">
        <f t="array" ref="L27">IFERROR(LOOKUP(1,0/(([2]业务报告!$A:$A=$N27)*([2]业务报告!$B:$B=$P$2)),[2]业务报告!AJ:AJ),0)</f>
        <v>0</v>
      </c>
      <c r="M27" s="49" t="str">
        <f t="shared" si="0"/>
        <v>周2</v>
      </c>
      <c r="N27" s="52">
        <f>DATE($O$1,$O$2,DAY(N26)+1)</f>
        <v>45923</v>
      </c>
      <c r="O27" s="51">
        <f>SUMIFS([2]业务报告!G:G,[2]业务报告!$A:$A,$N27,[2]业务报告!$B:$B,$P$2)+SUMIFS([2]业务报告!G:G,[2]业务报告!$A:$A,$N27,[2]业务报告!$B:$B,$T$2)</f>
        <v>0</v>
      </c>
      <c r="P27" s="51">
        <f>SUMIFS([2]业务报告!H:H,[2]业务报告!$A:$A,$N27,[2]业务报告!$B:$B,$P$2)+SUMIFS([2]业务报告!H:H,[2]业务报告!$A:$A,$N27,[2]业务报告!$B:$B,$T$2)</f>
        <v>0</v>
      </c>
      <c r="Q27" s="51">
        <f>SUMIFS([2]业务报告!I:I,[2]业务报告!$A:$A,$N27,[2]业务报告!$B:$B,$P$2)+SUMIFS([2]业务报告!I:I,[2]业务报告!$A:$A,$N27,[2]业务报告!$B:$B,$T$2)</f>
        <v>0</v>
      </c>
      <c r="R27" s="51">
        <f>SUMIFS([2]业务报告!T:T,[2]业务报告!$A:$A,$N27,[2]业务报告!$B:$B,$P$2)+SUMIFS([2]业务报告!T:T,[2]业务报告!$A:$A,$N27,[2]业务报告!$B:$B,$T$2)</f>
        <v>0</v>
      </c>
      <c r="S27" s="65">
        <f t="shared" si="1"/>
        <v>0</v>
      </c>
      <c r="T27" s="66">
        <f>SUMIFS([2]业务报告!X:X,[2]业务报告!$A:$A,$N27,[2]业务报告!$B:$B,$P$2)+SUMIFS([2]业务报告!X:X,[2]业务报告!$A:$A,$N27,[2]业务报告!$B:$B,$T$2)</f>
        <v>0</v>
      </c>
      <c r="U27" s="28">
        <f>SUMIFS([2]业务报告!AO:AO,[2]业务报告!$A:$A,$N27,[2]业务报告!$B:$B,$P$2)+SUMIFS([2]业务报告!AP:AP,[2]业务报告!$A:$A,$N27,[2]业务报告!$B:$B,$P$2)</f>
        <v>0</v>
      </c>
      <c r="V27" s="73">
        <f>SUMIFS([2]WT报告!I:I,[2]WT报告!$C:$C,$N27,[2]WT报告!$H:$H,$X$2)</f>
        <v>0</v>
      </c>
      <c r="W27" s="66">
        <f>SUMIFS([2]WT报告!Z:Z,[2]WT报告!$C:$C,$N27,[2]WT报告!$H:$H,$X$2)</f>
        <v>0</v>
      </c>
      <c r="X27" s="73">
        <f>SUMIFS([2]业务报告!AS:AS,[2]业务报告!$A:$A,$N27,[2]业务报告!$B:$B,$P$2)+SUMIFS([2]业务报告!AS:AS,[2]业务报告!$A:$A,$N27,[2]业务报告!$B:$B,$T$2)+V27</f>
        <v>0</v>
      </c>
      <c r="Y27" s="85">
        <f>SUMIFS([2]业务报告!AO:AO,[2]业务报告!$A:$A,$N27,[2]业务报告!$B:$B,$P$2)*SUMIFS([2]业务报告!AM:AM,[2]业务报告!$A:$A,$N27,[2]业务报告!$B:$B,$P$2)/$AC$2+SUMIFS([2]业务报告!AP:AP,[2]业务报告!$A:$A,$N27,[2]业务报告!$B:$B,$P$2)*SUMIFS([2]业务报告!AN:AN,[2]业务报告!$A:$A,$N27,[2]业务报告!$B:$B,$P$2)/$AC$2</f>
        <v>0</v>
      </c>
      <c r="Z27" s="86">
        <f>(I27*(1-$AD$2-4%-10%)-$AD$1-$AC$1/$AC$2)*BB27-BC27</f>
        <v>0</v>
      </c>
      <c r="AA27" s="87">
        <f>(I27*(1-$AD$2-4%-10%)-$AD$1-$AC$1/$AC$2)*(R27-IF(R27&gt;V27,SUMIFS([2]业务报告!AO:AO,[2]业务报告!$A:$A,$N27,[2]业务报告!$B:$B,$P$2),0))-BC27</f>
        <v>0</v>
      </c>
      <c r="AB27" s="88">
        <f t="shared" si="2"/>
        <v>0</v>
      </c>
      <c r="AC27" s="86">
        <f>AR27*(J27-$AC$1/$AC$2-J27*4%)-AS27</f>
        <v>0</v>
      </c>
      <c r="AD27" s="87">
        <f>(V27-IF(R27&lt;V27,SUMIFS([2]业务报告!AO:AO,[2]业务报告!$A:$A,$N27,[2]业务报告!$B:$B,$P$2),0))*(J27-$AC$1/$AC$2-J27*4%)-AS27</f>
        <v>0</v>
      </c>
      <c r="AE27" s="87" cm="1">
        <f t="array" ref="AE27">IFERROR(LOOKUP(1,0/(([2]业务报告!$A:$A=$N27)*([2]业务报告!$B:$B=$P$2)),[2]业务报告!AQ:AQ),0)*$AH$2</f>
        <v>0</v>
      </c>
      <c r="AF27" s="87" cm="1">
        <f t="array" ref="AF27">IFERROR(LOOKUP(1,0/(([2]业务报告!$A:$A=$N27)*([2]业务报告!$B:$B=$P$2)),[2]业务报告!AR:AR),0)*$AG$2</f>
        <v>0</v>
      </c>
      <c r="AG27" s="87">
        <f t="shared" si="3"/>
        <v>0</v>
      </c>
      <c r="AH27" s="88">
        <f t="shared" si="4"/>
        <v>0</v>
      </c>
      <c r="AI27" s="116">
        <f t="shared" si="5"/>
        <v>0</v>
      </c>
      <c r="AJ27" s="117">
        <f t="shared" si="6"/>
        <v>0</v>
      </c>
      <c r="AK27" s="122">
        <f t="shared" si="7"/>
        <v>0</v>
      </c>
      <c r="AL27" s="116">
        <f>SUMIFS([2]WT报告!S:S,[2]WT报告!$C:$C,$N27,[2]WT报告!$H:$H,$X$2)</f>
        <v>0</v>
      </c>
      <c r="AM27" s="123">
        <f t="shared" si="8"/>
        <v>0</v>
      </c>
      <c r="AN27" s="124">
        <f>SUMIFS([2]WT报告!N:N,[2]WT报告!$C:$C,$N27,[2]WT报告!$H:$H,$X$2)</f>
        <v>0</v>
      </c>
      <c r="AO27" s="117">
        <f t="shared" si="9"/>
        <v>0</v>
      </c>
      <c r="AP27" s="87">
        <f>SUMIFS([2]WT报告!P:P,[2]WT报告!$C:$C,$N27,[2]WT报告!$H:$H,$X$2)</f>
        <v>0</v>
      </c>
      <c r="AQ27" s="129">
        <f>SUMIFS([2]WT报告!Q:Q,[2]WT报告!$C:$C,$N27,[2]WT报告!$H:$H,$X$2)</f>
        <v>0</v>
      </c>
      <c r="AR27" s="87">
        <f>SUMIFS([2]WT报告!J:J,[2]WT报告!$C:$C,$N27,[2]WT报告!$H:$H,$X$2)</f>
        <v>0</v>
      </c>
      <c r="AS27" s="133">
        <f>SUMIFS([2]WT报告!M:M,[2]WT报告!$C:$C,$N27,[2]WT报告!$H:$H,$X$2)</f>
        <v>0</v>
      </c>
      <c r="AT27" s="134">
        <f t="shared" si="10"/>
        <v>0</v>
      </c>
      <c r="AU27" s="122">
        <f t="shared" si="11"/>
        <v>0</v>
      </c>
      <c r="AV27" s="133">
        <f t="shared" si="12"/>
        <v>0</v>
      </c>
      <c r="AW27" s="123">
        <f t="shared" si="13"/>
        <v>0</v>
      </c>
      <c r="AX27" s="124">
        <f t="shared" si="14"/>
        <v>0</v>
      </c>
      <c r="AY27" s="117">
        <f t="shared" si="15"/>
        <v>0</v>
      </c>
      <c r="AZ27" s="122">
        <f t="shared" si="16"/>
        <v>0</v>
      </c>
      <c r="BA27" s="142">
        <f t="shared" si="17"/>
        <v>0</v>
      </c>
      <c r="BB27" s="122">
        <f t="shared" si="18"/>
        <v>0</v>
      </c>
      <c r="BC27" s="133">
        <f t="shared" si="19"/>
        <v>0</v>
      </c>
      <c r="BD27" s="123">
        <f t="shared" si="20"/>
        <v>0</v>
      </c>
      <c r="BE27" s="150">
        <f t="shared" si="21"/>
        <v>0</v>
      </c>
      <c r="BF27" s="123">
        <f t="shared" si="22"/>
        <v>0</v>
      </c>
      <c r="BG27" s="122">
        <f t="shared" si="23"/>
        <v>0</v>
      </c>
      <c r="BH27" s="122">
        <f>SUMIFS([2]SP!J:J,[2]SP!A:A,N27,[2]SP!H:H,$P$2)+SUMIFS([2]SP!J:J,[2]SP!A:A,N27,[2]SP!H:H,$T$2)</f>
        <v>0</v>
      </c>
      <c r="BI27" s="122">
        <f>SUMIFS([2]SP!K:K,[2]SP!A:A,N27,[2]SP!H:H,$P$2)+SUMIFS([2]SP!K:K,[2]SP!A:A,N27,[2]SP!H:H,$T$2)</f>
        <v>0</v>
      </c>
      <c r="BJ27" s="154">
        <f t="shared" si="24"/>
        <v>0</v>
      </c>
      <c r="BK27" s="124">
        <f t="shared" si="25"/>
        <v>0</v>
      </c>
      <c r="BL27" s="122">
        <f>SUMIFS([2]SP!R:R,[2]SP!A:A,N27,[2]SP!H:H,$P$2)+SUMIFS([2]SP!R:R,[2]SP!A:A,N27,[2]SP!H:H,$T$2)</f>
        <v>0</v>
      </c>
      <c r="BM27" s="124">
        <f>SUMIFS([2]SP!O:O,[2]SP!A:A,$N27,[2]SP!H:H,$P$2)+SUMIFS([2]SP!O:O,[2]SP!A:A,$N27,[2]SP!H:H,$T$2)</f>
        <v>0</v>
      </c>
      <c r="BN27" s="160">
        <f t="shared" si="26"/>
        <v>0</v>
      </c>
      <c r="BO27" s="122">
        <f>SUMIFS([2]SP!N:N,[2]SP!A:A,N27,[2]SP!H:H,$P$2)+SUMIFS([2]SP!N:N,[2]SP!A:A,N27,[2]SP!H:H,$T$2)</f>
        <v>0</v>
      </c>
      <c r="BP27" s="161">
        <f t="shared" si="27"/>
        <v>0</v>
      </c>
      <c r="BQ27" s="122">
        <f>SUMIFS([2]SD!J:J,[2]SD!A:A,N27,[2]SD!H:H,$P$2)+SUMIFS([2]SD!J:J,[2]SD!A:A,N27,[2]SD!H:H,$T$2)</f>
        <v>0</v>
      </c>
      <c r="BR27" s="122">
        <f>SUMIFS([2]SD!L:L,[2]SD!A:A,N27,[2]SD!H:H,$P$2)+SUMIFS([2]SD!L:L,[2]SD!A:A,N27,[2]SD!H:H,$T$2)</f>
        <v>0</v>
      </c>
      <c r="BS27" s="154">
        <f t="shared" si="28"/>
        <v>0</v>
      </c>
      <c r="BT27" s="124">
        <f t="shared" si="29"/>
        <v>0</v>
      </c>
      <c r="BU27" s="122">
        <f>SUMIFS([2]SD!U:U,[2]SD!A:A,N27,[2]SD!H:H,$P$2)+SUMIFS([2]SD!U:U,[2]SD!A:A,N27,[2]SD!H:H,$T$2)</f>
        <v>0</v>
      </c>
      <c r="BV27" s="124">
        <f>SUMIFS([2]SD!V:V,[2]SD!A:A,N27,[2]SD!H:H,$P$2)+SUMIFS([2]SD!V:V,[2]SD!A:A,N27,[2]SD!H:H,$T$2)</f>
        <v>0</v>
      </c>
      <c r="BW27" s="160">
        <f t="shared" si="30"/>
        <v>0</v>
      </c>
      <c r="BX27" s="124">
        <f>SUMIFS([2]SD!O:O,[2]SD!A:A,N27,[2]SD!H:H,$P$2)+SUMIFS([2]SD!O:O,[2]SD!A:A,N27,[2]SD!H:H,$T$2)</f>
        <v>0</v>
      </c>
      <c r="BY27" s="161">
        <f t="shared" si="31"/>
        <v>0</v>
      </c>
      <c r="BZ27" s="122">
        <f>SUMIFS([2]SB!H:H,[2]SB!B:B,N27,[2]SB!A:A,$P$2)+SUMIFS([2]SB!H:H,[2]SB!B:B,N27,[2]SB!A:A,$T$2)</f>
        <v>0</v>
      </c>
      <c r="CA27" s="122">
        <f>SUMIFS([2]SB!I:I,[2]SB!B:B,N27,[2]SB!A:A,$P$2)+SUMIFS([2]SB!I:I,[2]SB!B:B,N27,[2]SB!A:A,$T$2)</f>
        <v>0</v>
      </c>
      <c r="CB27" s="154">
        <f t="shared" si="32"/>
        <v>0</v>
      </c>
      <c r="CC27" s="124">
        <f t="shared" si="33"/>
        <v>0</v>
      </c>
      <c r="CD27" s="122">
        <f>SUMIFS([2]SB!Q:Q,[2]SB!B:B,N27,[2]SB!A:A,$P$2)+SUMIFS([2]SB!Q:Q,[2]SB!B:B,N27,[2]SB!A:A,$T$2)</f>
        <v>0</v>
      </c>
      <c r="CE27" s="124">
        <f>SUMIFS([2]SB!O:O,[2]SB!B:B,N27,[2]SB!A:A,$P$2)+SUMIFS([2]SB!O:O,[2]SB!B:B,N27,[2]SB!A:A,$T$2)</f>
        <v>0</v>
      </c>
      <c r="CF27" s="160">
        <f t="shared" si="34"/>
        <v>0</v>
      </c>
      <c r="CG27" s="124">
        <f>SUMIFS([2]SB!L:L,[2]SB!B:B,N27,[2]SB!A:A,$P$2)+SUMIFS([2]SB!L:L,[2]SB!B:B,N27,[2]SB!A:A,$T$2)</f>
        <v>0</v>
      </c>
      <c r="CH27" s="161">
        <f t="shared" si="35"/>
        <v>0</v>
      </c>
    </row>
    <row r="28" s="1" customFormat="1" ht="20" hidden="1" customHeight="1" spans="1:86">
      <c r="A28" s="17" t="str" cm="1">
        <f t="array" ref="A28">IFERROR(LOOKUP(1,0/(([2]业务报告!$A:$A=$N28)*([2]业务报告!$B:$B=$P$2)),[2]业务报告!AU:AU),"")</f>
        <v/>
      </c>
      <c r="B28" s="17" t="str" cm="1">
        <f t="array" ref="B28">IFERROR(LOOKUP(1,0/(([2]业务报告!$A:$A=$N28)*([2]业务报告!$B:$B=$P$2)),[2]业务报告!AV:AV),"")</f>
        <v/>
      </c>
      <c r="C28" s="20">
        <f>SUMIFS([2]业务报告!AC:AC,[2]业务报告!$A:$A,$N28,[2]业务报告!$B:$B,$P$2)</f>
        <v>0</v>
      </c>
      <c r="D28" s="21">
        <f>SUMIFS([2]业务报告!AD:AD,[2]业务报告!$A:$A,$N28,[2]业务报告!$B:$B,$P$2)</f>
        <v>0</v>
      </c>
      <c r="E28" s="20" t="str" cm="1">
        <f t="array" ref="E28">_xlfn.XLOOKUP($N28&amp;$P$2,[2]业务报告!$A:$A&amp;[2]业务报告!$B:$B,[2]业务报告!AE:AE,"")</f>
        <v/>
      </c>
      <c r="F28" s="28" cm="1">
        <f t="array" ref="F28">IFERROR(LOOKUP(1,0/(([2]业务报告!$A:$A=$N28)*([2]业务报告!$B:$B=$P$2)),[2]业务报告!AK:AK),0)</f>
        <v>0</v>
      </c>
      <c r="G28" s="29">
        <f>SUMIFS([2]业务报告!AF:AF,[2]业务报告!$A:$A,$N28,[2]业务报告!$B:$B,$P$2)</f>
        <v>0</v>
      </c>
      <c r="H28" s="30" cm="1">
        <f t="array" ref="H28">IFERROR(LOOKUP(1,0/(([2]业务报告!$A:$A=$N28)*([2]业务报告!B:B=$P$2)),[2]业务报告!AG:AG),0)</f>
        <v>0</v>
      </c>
      <c r="I28" s="30" cm="1">
        <f t="array" ref="I28">IFERROR(LOOKUP(1,0/(([2]业务报告!$A:$A=$N28)*([2]业务报告!$B:$B=$P$2)),[2]业务报告!AH:AH),0)</f>
        <v>0</v>
      </c>
      <c r="J28" s="30">
        <f>SUMIFS([2]WT报告!A:A,[2]WT报告!$C:$C,$N28,[2]WT报告!$H:$H,$X$2)</f>
        <v>0</v>
      </c>
      <c r="K28" s="28" cm="1">
        <f t="array" ref="K28">IFERROR(LOOKUP(1,0/(([2]业务报告!$A:$A=$N28)*([2]业务报告!$B:$B=$P$2)),[2]业务报告!AI:AI),0)</f>
        <v>0</v>
      </c>
      <c r="L28" s="28" cm="1">
        <f t="array" ref="L28">IFERROR(LOOKUP(1,0/(([2]业务报告!$A:$A=$N28)*([2]业务报告!$B:$B=$P$2)),[2]业务报告!AJ:AJ),0)</f>
        <v>0</v>
      </c>
      <c r="M28" s="49" t="str">
        <f t="shared" si="0"/>
        <v>周3</v>
      </c>
      <c r="N28" s="50">
        <f>DATE($O$1,$O$2,DAY(N27)+1)</f>
        <v>45924</v>
      </c>
      <c r="O28" s="51">
        <f>SUMIFS([2]业务报告!G:G,[2]业务报告!$A:$A,$N28,[2]业务报告!$B:$B,$P$2)+SUMIFS([2]业务报告!G:G,[2]业务报告!$A:$A,$N28,[2]业务报告!$B:$B,$T$2)</f>
        <v>0</v>
      </c>
      <c r="P28" s="51">
        <f>SUMIFS([2]业务报告!H:H,[2]业务报告!$A:$A,$N28,[2]业务报告!$B:$B,$P$2)+SUMIFS([2]业务报告!H:H,[2]业务报告!$A:$A,$N28,[2]业务报告!$B:$B,$T$2)</f>
        <v>0</v>
      </c>
      <c r="Q28" s="51">
        <f>SUMIFS([2]业务报告!I:I,[2]业务报告!$A:$A,$N28,[2]业务报告!$B:$B,$P$2)+SUMIFS([2]业务报告!I:I,[2]业务报告!$A:$A,$N28,[2]业务报告!$B:$B,$T$2)</f>
        <v>0</v>
      </c>
      <c r="R28" s="51">
        <f>SUMIFS([2]业务报告!T:T,[2]业务报告!$A:$A,$N28,[2]业务报告!$B:$B,$P$2)+SUMIFS([2]业务报告!T:T,[2]业务报告!$A:$A,$N28,[2]业务报告!$B:$B,$T$2)</f>
        <v>0</v>
      </c>
      <c r="S28" s="65">
        <f t="shared" si="1"/>
        <v>0</v>
      </c>
      <c r="T28" s="66">
        <f>SUMIFS([2]业务报告!X:X,[2]业务报告!$A:$A,$N28,[2]业务报告!$B:$B,$P$2)+SUMIFS([2]业务报告!X:X,[2]业务报告!$A:$A,$N28,[2]业务报告!$B:$B,$T$2)</f>
        <v>0</v>
      </c>
      <c r="U28" s="28">
        <f>SUMIFS([2]业务报告!AO:AO,[2]业务报告!$A:$A,$N28,[2]业务报告!$B:$B,$P$2)+SUMIFS([2]业务报告!AP:AP,[2]业务报告!$A:$A,$N28,[2]业务报告!$B:$B,$P$2)</f>
        <v>0</v>
      </c>
      <c r="V28" s="73">
        <f>SUMIFS([2]WT报告!I:I,[2]WT报告!$C:$C,$N28,[2]WT报告!$H:$H,$X$2)</f>
        <v>0</v>
      </c>
      <c r="W28" s="66">
        <f>SUMIFS([2]WT报告!Z:Z,[2]WT报告!$C:$C,$N28,[2]WT报告!$H:$H,$X$2)</f>
        <v>0</v>
      </c>
      <c r="X28" s="73">
        <f>SUMIFS([2]业务报告!AS:AS,[2]业务报告!$A:$A,$N28,[2]业务报告!$B:$B,$P$2)+SUMIFS([2]业务报告!AS:AS,[2]业务报告!$A:$A,$N28,[2]业务报告!$B:$B,$T$2)+V28</f>
        <v>0</v>
      </c>
      <c r="Y28" s="85">
        <f>SUMIFS([2]业务报告!AO:AO,[2]业务报告!$A:$A,$N28,[2]业务报告!$B:$B,$P$2)*SUMIFS([2]业务报告!AM:AM,[2]业务报告!$A:$A,$N28,[2]业务报告!$B:$B,$P$2)/$AC$2+SUMIFS([2]业务报告!AP:AP,[2]业务报告!$A:$A,$N28,[2]业务报告!$B:$B,$P$2)*SUMIFS([2]业务报告!AN:AN,[2]业务报告!$A:$A,$N28,[2]业务报告!$B:$B,$P$2)/$AC$2</f>
        <v>0</v>
      </c>
      <c r="Z28" s="86">
        <f>(I28*(1-$AD$2-4%-10%)-$AD$1-$AC$1/$AC$2)*BB28-BC28</f>
        <v>0</v>
      </c>
      <c r="AA28" s="87">
        <f>(I28*(1-$AD$2-4%-10%)-$AD$1-$AC$1/$AC$2)*(R28-IF(R28&gt;V28,SUMIFS([2]业务报告!AO:AO,[2]业务报告!$A:$A,$N28,[2]业务报告!$B:$B,$P$2),0))-BC28</f>
        <v>0</v>
      </c>
      <c r="AB28" s="88">
        <f t="shared" si="2"/>
        <v>0</v>
      </c>
      <c r="AC28" s="86">
        <f>AR28*(J28-$AC$1/$AC$2-J28*4%)-AS28</f>
        <v>0</v>
      </c>
      <c r="AD28" s="87">
        <f>(V28-IF(R28&lt;V28,SUMIFS([2]业务报告!AO:AO,[2]业务报告!$A:$A,$N28,[2]业务报告!$B:$B,$P$2),0))*(J28-$AC$1/$AC$2-J28*4%)-AS28</f>
        <v>0</v>
      </c>
      <c r="AE28" s="87" cm="1">
        <f t="array" ref="AE28">IFERROR(LOOKUP(1,0/(([2]业务报告!$A:$A=$N28)*([2]业务报告!$B:$B=$P$2)),[2]业务报告!AQ:AQ),0)*$AH$2</f>
        <v>0</v>
      </c>
      <c r="AF28" s="87" cm="1">
        <f t="array" ref="AF28">IFERROR(LOOKUP(1,0/(([2]业务报告!$A:$A=$N28)*([2]业务报告!$B:$B=$P$2)),[2]业务报告!AR:AR),0)*$AG$2</f>
        <v>0</v>
      </c>
      <c r="AG28" s="87">
        <f t="shared" si="3"/>
        <v>0</v>
      </c>
      <c r="AH28" s="88">
        <f t="shared" si="4"/>
        <v>0</v>
      </c>
      <c r="AI28" s="116">
        <f t="shared" si="5"/>
        <v>0</v>
      </c>
      <c r="AJ28" s="117">
        <f t="shared" si="6"/>
        <v>0</v>
      </c>
      <c r="AK28" s="122">
        <f t="shared" si="7"/>
        <v>0</v>
      </c>
      <c r="AL28" s="116">
        <f>SUMIFS([2]WT报告!S:S,[2]WT报告!$C:$C,$N28,[2]WT报告!$H:$H,$X$2)</f>
        <v>0</v>
      </c>
      <c r="AM28" s="123">
        <f t="shared" si="8"/>
        <v>0</v>
      </c>
      <c r="AN28" s="124">
        <f>SUMIFS([2]WT报告!N:N,[2]WT报告!$C:$C,$N28,[2]WT报告!$H:$H,$X$2)</f>
        <v>0</v>
      </c>
      <c r="AO28" s="117">
        <f t="shared" si="9"/>
        <v>0</v>
      </c>
      <c r="AP28" s="87">
        <f>SUMIFS([2]WT报告!P:P,[2]WT报告!$C:$C,$N28,[2]WT报告!$H:$H,$X$2)</f>
        <v>0</v>
      </c>
      <c r="AQ28" s="129">
        <f>SUMIFS([2]WT报告!Q:Q,[2]WT报告!$C:$C,$N28,[2]WT报告!$H:$H,$X$2)</f>
        <v>0</v>
      </c>
      <c r="AR28" s="87">
        <f>SUMIFS([2]WT报告!J:J,[2]WT报告!$C:$C,$N28,[2]WT报告!$H:$H,$X$2)</f>
        <v>0</v>
      </c>
      <c r="AS28" s="133">
        <f>SUMIFS([2]WT报告!M:M,[2]WT报告!$C:$C,$N28,[2]WT报告!$H:$H,$X$2)</f>
        <v>0</v>
      </c>
      <c r="AT28" s="134">
        <f t="shared" si="10"/>
        <v>0</v>
      </c>
      <c r="AU28" s="122">
        <f t="shared" si="11"/>
        <v>0</v>
      </c>
      <c r="AV28" s="133">
        <f t="shared" si="12"/>
        <v>0</v>
      </c>
      <c r="AW28" s="123">
        <f t="shared" si="13"/>
        <v>0</v>
      </c>
      <c r="AX28" s="124">
        <f t="shared" si="14"/>
        <v>0</v>
      </c>
      <c r="AY28" s="117">
        <f t="shared" si="15"/>
        <v>0</v>
      </c>
      <c r="AZ28" s="122">
        <f t="shared" si="16"/>
        <v>0</v>
      </c>
      <c r="BA28" s="142">
        <f t="shared" si="17"/>
        <v>0</v>
      </c>
      <c r="BB28" s="122">
        <f t="shared" si="18"/>
        <v>0</v>
      </c>
      <c r="BC28" s="133">
        <f t="shared" si="19"/>
        <v>0</v>
      </c>
      <c r="BD28" s="123">
        <f t="shared" si="20"/>
        <v>0</v>
      </c>
      <c r="BE28" s="150">
        <f t="shared" si="21"/>
        <v>0</v>
      </c>
      <c r="BF28" s="123">
        <f t="shared" si="22"/>
        <v>0</v>
      </c>
      <c r="BG28" s="122">
        <f t="shared" si="23"/>
        <v>0</v>
      </c>
      <c r="BH28" s="122">
        <f>SUMIFS([2]SP!J:J,[2]SP!A:A,N28,[2]SP!H:H,$P$2)+SUMIFS([2]SP!J:J,[2]SP!A:A,N28,[2]SP!H:H,$T$2)</f>
        <v>0</v>
      </c>
      <c r="BI28" s="122">
        <f>SUMIFS([2]SP!K:K,[2]SP!A:A,N28,[2]SP!H:H,$P$2)+SUMIFS([2]SP!K:K,[2]SP!A:A,N28,[2]SP!H:H,$T$2)</f>
        <v>0</v>
      </c>
      <c r="BJ28" s="154">
        <f t="shared" si="24"/>
        <v>0</v>
      </c>
      <c r="BK28" s="124">
        <f t="shared" si="25"/>
        <v>0</v>
      </c>
      <c r="BL28" s="122">
        <f>SUMIFS([2]SP!R:R,[2]SP!A:A,N28,[2]SP!H:H,$P$2)+SUMIFS([2]SP!R:R,[2]SP!A:A,N28,[2]SP!H:H,$T$2)</f>
        <v>0</v>
      </c>
      <c r="BM28" s="124">
        <f>SUMIFS([2]SP!O:O,[2]SP!A:A,$N28,[2]SP!H:H,$P$2)+SUMIFS([2]SP!O:O,[2]SP!A:A,$N28,[2]SP!H:H,$T$2)</f>
        <v>0</v>
      </c>
      <c r="BN28" s="160">
        <f t="shared" si="26"/>
        <v>0</v>
      </c>
      <c r="BO28" s="122">
        <f>SUMIFS([2]SP!N:N,[2]SP!A:A,N28,[2]SP!H:H,$P$2)+SUMIFS([2]SP!N:N,[2]SP!A:A,N28,[2]SP!H:H,$T$2)</f>
        <v>0</v>
      </c>
      <c r="BP28" s="161">
        <f t="shared" si="27"/>
        <v>0</v>
      </c>
      <c r="BQ28" s="122">
        <f>SUMIFS([2]SD!J:J,[2]SD!A:A,N28,[2]SD!H:H,$P$2)+SUMIFS([2]SD!J:J,[2]SD!A:A,N28,[2]SD!H:H,$T$2)</f>
        <v>0</v>
      </c>
      <c r="BR28" s="122">
        <f>SUMIFS([2]SD!L:L,[2]SD!A:A,N28,[2]SD!H:H,$P$2)+SUMIFS([2]SD!L:L,[2]SD!A:A,N28,[2]SD!H:H,$T$2)</f>
        <v>0</v>
      </c>
      <c r="BS28" s="154">
        <f t="shared" si="28"/>
        <v>0</v>
      </c>
      <c r="BT28" s="124">
        <f t="shared" si="29"/>
        <v>0</v>
      </c>
      <c r="BU28" s="122">
        <f>SUMIFS([2]SD!U:U,[2]SD!A:A,N28,[2]SD!H:H,$P$2)+SUMIFS([2]SD!U:U,[2]SD!A:A,N28,[2]SD!H:H,$T$2)</f>
        <v>0</v>
      </c>
      <c r="BV28" s="124">
        <f>SUMIFS([2]SD!V:V,[2]SD!A:A,N28,[2]SD!H:H,$P$2)+SUMIFS([2]SD!V:V,[2]SD!A:A,N28,[2]SD!H:H,$T$2)</f>
        <v>0</v>
      </c>
      <c r="BW28" s="160">
        <f t="shared" si="30"/>
        <v>0</v>
      </c>
      <c r="BX28" s="124">
        <f>SUMIFS([2]SD!O:O,[2]SD!A:A,N28,[2]SD!H:H,$P$2)+SUMIFS([2]SD!O:O,[2]SD!A:A,N28,[2]SD!H:H,$T$2)</f>
        <v>0</v>
      </c>
      <c r="BY28" s="161">
        <f t="shared" si="31"/>
        <v>0</v>
      </c>
      <c r="BZ28" s="122">
        <f>SUMIFS([2]SB!H:H,[2]SB!B:B,N28,[2]SB!A:A,$P$2)+SUMIFS([2]SB!H:H,[2]SB!B:B,N28,[2]SB!A:A,$T$2)</f>
        <v>0</v>
      </c>
      <c r="CA28" s="122">
        <f>SUMIFS([2]SB!I:I,[2]SB!B:B,N28,[2]SB!A:A,$P$2)+SUMIFS([2]SB!I:I,[2]SB!B:B,N28,[2]SB!A:A,$T$2)</f>
        <v>0</v>
      </c>
      <c r="CB28" s="154">
        <f t="shared" si="32"/>
        <v>0</v>
      </c>
      <c r="CC28" s="124">
        <f t="shared" si="33"/>
        <v>0</v>
      </c>
      <c r="CD28" s="122">
        <f>SUMIFS([2]SB!Q:Q,[2]SB!B:B,N28,[2]SB!A:A,$P$2)+SUMIFS([2]SB!Q:Q,[2]SB!B:B,N28,[2]SB!A:A,$T$2)</f>
        <v>0</v>
      </c>
      <c r="CE28" s="124">
        <f>SUMIFS([2]SB!O:O,[2]SB!B:B,N28,[2]SB!A:A,$P$2)+SUMIFS([2]SB!O:O,[2]SB!B:B,N28,[2]SB!A:A,$T$2)</f>
        <v>0</v>
      </c>
      <c r="CF28" s="160">
        <f t="shared" si="34"/>
        <v>0</v>
      </c>
      <c r="CG28" s="124">
        <f>SUMIFS([2]SB!L:L,[2]SB!B:B,N28,[2]SB!A:A,$P$2)+SUMIFS([2]SB!L:L,[2]SB!B:B,N28,[2]SB!A:A,$T$2)</f>
        <v>0</v>
      </c>
      <c r="CH28" s="161">
        <f t="shared" si="35"/>
        <v>0</v>
      </c>
    </row>
    <row r="29" s="1" customFormat="1" ht="20" hidden="1" customHeight="1" spans="1:86">
      <c r="A29" s="17" t="str" cm="1">
        <f t="array" ref="A29">IFERROR(LOOKUP(1,0/(([2]业务报告!$A:$A=$N29)*([2]业务报告!$B:$B=$P$2)),[2]业务报告!AU:AU),"")</f>
        <v/>
      </c>
      <c r="B29" s="17" t="str" cm="1">
        <f t="array" ref="B29">IFERROR(LOOKUP(1,0/(([2]业务报告!$A:$A=$N29)*([2]业务报告!$B:$B=$P$2)),[2]业务报告!AV:AV),"")</f>
        <v/>
      </c>
      <c r="C29" s="20">
        <f>SUMIFS([2]业务报告!AC:AC,[2]业务报告!$A:$A,$N29,[2]业务报告!$B:$B,$P$2)</f>
        <v>0</v>
      </c>
      <c r="D29" s="21">
        <f>SUMIFS([2]业务报告!AD:AD,[2]业务报告!$A:$A,$N29,[2]业务报告!$B:$B,$P$2)</f>
        <v>0</v>
      </c>
      <c r="E29" s="20" t="str" cm="1">
        <f t="array" ref="E29">_xlfn.XLOOKUP($N29&amp;$P$2,[2]业务报告!$A:$A&amp;[2]业务报告!$B:$B,[2]业务报告!AE:AE,"")</f>
        <v/>
      </c>
      <c r="F29" s="28" cm="1">
        <f t="array" ref="F29">IFERROR(LOOKUP(1,0/(([2]业务报告!$A:$A=$N29)*([2]业务报告!$B:$B=$P$2)),[2]业务报告!AK:AK),0)</f>
        <v>0</v>
      </c>
      <c r="G29" s="29">
        <f>SUMIFS([2]业务报告!AF:AF,[2]业务报告!$A:$A,$N29,[2]业务报告!$B:$B,$P$2)</f>
        <v>0</v>
      </c>
      <c r="H29" s="30" cm="1">
        <f t="array" ref="H29">IFERROR(LOOKUP(1,0/(([2]业务报告!$A:$A=$N29)*([2]业务报告!B:B=$P$2)),[2]业务报告!AG:AG),0)</f>
        <v>0</v>
      </c>
      <c r="I29" s="30" cm="1">
        <f t="array" ref="I29">IFERROR(LOOKUP(1,0/(([2]业务报告!$A:$A=$N29)*([2]业务报告!$B:$B=$P$2)),[2]业务报告!AH:AH),0)</f>
        <v>0</v>
      </c>
      <c r="J29" s="30">
        <f>SUMIFS([2]WT报告!A:A,[2]WT报告!$C:$C,$N29,[2]WT报告!$H:$H,$X$2)</f>
        <v>0</v>
      </c>
      <c r="K29" s="28" cm="1">
        <f t="array" ref="K29">IFERROR(LOOKUP(1,0/(([2]业务报告!$A:$A=$N29)*([2]业务报告!$B:$B=$P$2)),[2]业务报告!AI:AI),0)</f>
        <v>0</v>
      </c>
      <c r="L29" s="28" cm="1">
        <f t="array" ref="L29">IFERROR(LOOKUP(1,0/(([2]业务报告!$A:$A=$N29)*([2]业务报告!$B:$B=$P$2)),[2]业务报告!AJ:AJ),0)</f>
        <v>0</v>
      </c>
      <c r="M29" s="49" t="str">
        <f t="shared" si="0"/>
        <v>周4</v>
      </c>
      <c r="N29" s="50">
        <f>DATE($O$1,$O$2,DAY(N28)+1)</f>
        <v>45925</v>
      </c>
      <c r="O29" s="51">
        <f>SUMIFS([2]业务报告!G:G,[2]业务报告!$A:$A,$N29,[2]业务报告!$B:$B,$P$2)+SUMIFS([2]业务报告!G:G,[2]业务报告!$A:$A,$N29,[2]业务报告!$B:$B,$T$2)</f>
        <v>0</v>
      </c>
      <c r="P29" s="51">
        <f>SUMIFS([2]业务报告!H:H,[2]业务报告!$A:$A,$N29,[2]业务报告!$B:$B,$P$2)+SUMIFS([2]业务报告!H:H,[2]业务报告!$A:$A,$N29,[2]业务报告!$B:$B,$T$2)</f>
        <v>0</v>
      </c>
      <c r="Q29" s="51">
        <f>SUMIFS([2]业务报告!I:I,[2]业务报告!$A:$A,$N29,[2]业务报告!$B:$B,$P$2)+SUMIFS([2]业务报告!I:I,[2]业务报告!$A:$A,$N29,[2]业务报告!$B:$B,$T$2)</f>
        <v>0</v>
      </c>
      <c r="R29" s="51">
        <f>SUMIFS([2]业务报告!T:T,[2]业务报告!$A:$A,$N29,[2]业务报告!$B:$B,$P$2)+SUMIFS([2]业务报告!T:T,[2]业务报告!$A:$A,$N29,[2]业务报告!$B:$B,$T$2)</f>
        <v>0</v>
      </c>
      <c r="S29" s="65">
        <f t="shared" si="1"/>
        <v>0</v>
      </c>
      <c r="T29" s="66">
        <f>SUMIFS([2]业务报告!X:X,[2]业务报告!$A:$A,$N29,[2]业务报告!$B:$B,$P$2)+SUMIFS([2]业务报告!X:X,[2]业务报告!$A:$A,$N29,[2]业务报告!$B:$B,$T$2)</f>
        <v>0</v>
      </c>
      <c r="U29" s="28">
        <f>SUMIFS([2]业务报告!AO:AO,[2]业务报告!$A:$A,$N29,[2]业务报告!$B:$B,$P$2)+SUMIFS([2]业务报告!AP:AP,[2]业务报告!$A:$A,$N29,[2]业务报告!$B:$B,$P$2)</f>
        <v>0</v>
      </c>
      <c r="V29" s="73">
        <f>SUMIFS([2]WT报告!I:I,[2]WT报告!$C:$C,$N29,[2]WT报告!$H:$H,$X$2)</f>
        <v>0</v>
      </c>
      <c r="W29" s="66">
        <f>SUMIFS([2]WT报告!Z:Z,[2]WT报告!$C:$C,$N29,[2]WT报告!$H:$H,$X$2)</f>
        <v>0</v>
      </c>
      <c r="X29" s="73">
        <f>SUMIFS([2]业务报告!AS:AS,[2]业务报告!$A:$A,$N29,[2]业务报告!$B:$B,$P$2)+SUMIFS([2]业务报告!AS:AS,[2]业务报告!$A:$A,$N29,[2]业务报告!$B:$B,$T$2)+V29</f>
        <v>0</v>
      </c>
      <c r="Y29" s="85">
        <f>SUMIFS([2]业务报告!AO:AO,[2]业务报告!$A:$A,$N29,[2]业务报告!$B:$B,$P$2)*SUMIFS([2]业务报告!AM:AM,[2]业务报告!$A:$A,$N29,[2]业务报告!$B:$B,$P$2)/$AC$2+SUMIFS([2]业务报告!AP:AP,[2]业务报告!$A:$A,$N29,[2]业务报告!$B:$B,$P$2)*SUMIFS([2]业务报告!AN:AN,[2]业务报告!$A:$A,$N29,[2]业务报告!$B:$B,$P$2)/$AC$2</f>
        <v>0</v>
      </c>
      <c r="Z29" s="86">
        <f>(I29*(1-$AD$2-4%-10%)-$AD$1-$AC$1/$AC$2)*BB29-BC29</f>
        <v>0</v>
      </c>
      <c r="AA29" s="87">
        <f>(I29*(1-$AD$2-4%-10%)-$AD$1-$AC$1/$AC$2)*(R29-IF(R29&gt;V29,SUMIFS([2]业务报告!AO:AO,[2]业务报告!$A:$A,$N29,[2]业务报告!$B:$B,$P$2),0))-BC29</f>
        <v>0</v>
      </c>
      <c r="AB29" s="88">
        <f t="shared" si="2"/>
        <v>0</v>
      </c>
      <c r="AC29" s="86">
        <f>AR29*(J29-$AC$1/$AC$2-J29*4%)-AS29</f>
        <v>0</v>
      </c>
      <c r="AD29" s="87">
        <f>(V29-IF(R29&lt;V29,SUMIFS([2]业务报告!AO:AO,[2]业务报告!$A:$A,$N29,[2]业务报告!$B:$B,$P$2),0))*(J29-$AC$1/$AC$2-J29*4%)-AS29</f>
        <v>0</v>
      </c>
      <c r="AE29" s="87" cm="1">
        <f t="array" ref="AE29">IFERROR(LOOKUP(1,0/(([2]业务报告!$A:$A=$N29)*([2]业务报告!$B:$B=$P$2)),[2]业务报告!AQ:AQ),0)*$AH$2</f>
        <v>0</v>
      </c>
      <c r="AF29" s="87" cm="1">
        <f t="array" ref="AF29">IFERROR(LOOKUP(1,0/(([2]业务报告!$A:$A=$N29)*([2]业务报告!$B:$B=$P$2)),[2]业务报告!AR:AR),0)*$AG$2</f>
        <v>0</v>
      </c>
      <c r="AG29" s="87">
        <f t="shared" si="3"/>
        <v>0</v>
      </c>
      <c r="AH29" s="88">
        <f t="shared" si="4"/>
        <v>0</v>
      </c>
      <c r="AI29" s="116">
        <f t="shared" si="5"/>
        <v>0</v>
      </c>
      <c r="AJ29" s="117">
        <f t="shared" si="6"/>
        <v>0</v>
      </c>
      <c r="AK29" s="122">
        <f t="shared" si="7"/>
        <v>0</v>
      </c>
      <c r="AL29" s="116">
        <f>SUMIFS([2]WT报告!S:S,[2]WT报告!$C:$C,$N29,[2]WT报告!$H:$H,$X$2)</f>
        <v>0</v>
      </c>
      <c r="AM29" s="123">
        <f t="shared" si="8"/>
        <v>0</v>
      </c>
      <c r="AN29" s="124">
        <f>SUMIFS([2]WT报告!N:N,[2]WT报告!$C:$C,$N29,[2]WT报告!$H:$H,$X$2)</f>
        <v>0</v>
      </c>
      <c r="AO29" s="117">
        <f t="shared" si="9"/>
        <v>0</v>
      </c>
      <c r="AP29" s="87">
        <f>SUMIFS([2]WT报告!P:P,[2]WT报告!$C:$C,$N29,[2]WT报告!$H:$H,$X$2)</f>
        <v>0</v>
      </c>
      <c r="AQ29" s="129">
        <f>SUMIFS([2]WT报告!Q:Q,[2]WT报告!$C:$C,$N29,[2]WT报告!$H:$H,$X$2)</f>
        <v>0</v>
      </c>
      <c r="AR29" s="87">
        <f>SUMIFS([2]WT报告!J:J,[2]WT报告!$C:$C,$N29,[2]WT报告!$H:$H,$X$2)</f>
        <v>0</v>
      </c>
      <c r="AS29" s="133">
        <f>SUMIFS([2]WT报告!M:M,[2]WT报告!$C:$C,$N29,[2]WT报告!$H:$H,$X$2)</f>
        <v>0</v>
      </c>
      <c r="AT29" s="134">
        <f t="shared" si="10"/>
        <v>0</v>
      </c>
      <c r="AU29" s="122">
        <f t="shared" si="11"/>
        <v>0</v>
      </c>
      <c r="AV29" s="133">
        <f t="shared" si="12"/>
        <v>0</v>
      </c>
      <c r="AW29" s="123">
        <f t="shared" si="13"/>
        <v>0</v>
      </c>
      <c r="AX29" s="124">
        <f t="shared" si="14"/>
        <v>0</v>
      </c>
      <c r="AY29" s="117">
        <f t="shared" si="15"/>
        <v>0</v>
      </c>
      <c r="AZ29" s="122">
        <f t="shared" si="16"/>
        <v>0</v>
      </c>
      <c r="BA29" s="142">
        <f t="shared" si="17"/>
        <v>0</v>
      </c>
      <c r="BB29" s="122">
        <f t="shared" si="18"/>
        <v>0</v>
      </c>
      <c r="BC29" s="133">
        <f t="shared" si="19"/>
        <v>0</v>
      </c>
      <c r="BD29" s="123">
        <f t="shared" si="20"/>
        <v>0</v>
      </c>
      <c r="BE29" s="150">
        <f t="shared" si="21"/>
        <v>0</v>
      </c>
      <c r="BF29" s="123">
        <f t="shared" si="22"/>
        <v>0</v>
      </c>
      <c r="BG29" s="122">
        <f t="shared" si="23"/>
        <v>0</v>
      </c>
      <c r="BH29" s="122">
        <f>SUMIFS([2]SP!J:J,[2]SP!A:A,N29,[2]SP!H:H,$P$2)+SUMIFS([2]SP!J:J,[2]SP!A:A,N29,[2]SP!H:H,$T$2)</f>
        <v>0</v>
      </c>
      <c r="BI29" s="122">
        <f>SUMIFS([2]SP!K:K,[2]SP!A:A,N29,[2]SP!H:H,$P$2)+SUMIFS([2]SP!K:K,[2]SP!A:A,N29,[2]SP!H:H,$T$2)</f>
        <v>0</v>
      </c>
      <c r="BJ29" s="154">
        <f t="shared" si="24"/>
        <v>0</v>
      </c>
      <c r="BK29" s="124">
        <f t="shared" si="25"/>
        <v>0</v>
      </c>
      <c r="BL29" s="122">
        <f>SUMIFS([2]SP!R:R,[2]SP!A:A,N29,[2]SP!H:H,$P$2)+SUMIFS([2]SP!R:R,[2]SP!A:A,N29,[2]SP!H:H,$T$2)</f>
        <v>0</v>
      </c>
      <c r="BM29" s="124">
        <f>SUMIFS([2]SP!O:O,[2]SP!A:A,$N29,[2]SP!H:H,$P$2)+SUMIFS([2]SP!O:O,[2]SP!A:A,$N29,[2]SP!H:H,$T$2)</f>
        <v>0</v>
      </c>
      <c r="BN29" s="160">
        <f t="shared" si="26"/>
        <v>0</v>
      </c>
      <c r="BO29" s="122">
        <f>SUMIFS([2]SP!N:N,[2]SP!A:A,N29,[2]SP!H:H,$P$2)+SUMIFS([2]SP!N:N,[2]SP!A:A,N29,[2]SP!H:H,$T$2)</f>
        <v>0</v>
      </c>
      <c r="BP29" s="161">
        <f t="shared" si="27"/>
        <v>0</v>
      </c>
      <c r="BQ29" s="122">
        <f>SUMIFS([2]SD!J:J,[2]SD!A:A,N29,[2]SD!H:H,$P$2)+SUMIFS([2]SD!J:J,[2]SD!A:A,N29,[2]SD!H:H,$T$2)</f>
        <v>0</v>
      </c>
      <c r="BR29" s="122">
        <f>SUMIFS([2]SD!L:L,[2]SD!A:A,N29,[2]SD!H:H,$P$2)+SUMIFS([2]SD!L:L,[2]SD!A:A,N29,[2]SD!H:H,$T$2)</f>
        <v>0</v>
      </c>
      <c r="BS29" s="154">
        <f t="shared" si="28"/>
        <v>0</v>
      </c>
      <c r="BT29" s="124">
        <f t="shared" si="29"/>
        <v>0</v>
      </c>
      <c r="BU29" s="122">
        <f>SUMIFS([2]SD!U:U,[2]SD!A:A,N29,[2]SD!H:H,$P$2)+SUMIFS([2]SD!U:U,[2]SD!A:A,N29,[2]SD!H:H,$T$2)</f>
        <v>0</v>
      </c>
      <c r="BV29" s="124">
        <f>SUMIFS([2]SD!V:V,[2]SD!A:A,N29,[2]SD!H:H,$P$2)+SUMIFS([2]SD!V:V,[2]SD!A:A,N29,[2]SD!H:H,$T$2)</f>
        <v>0</v>
      </c>
      <c r="BW29" s="160">
        <f t="shared" si="30"/>
        <v>0</v>
      </c>
      <c r="BX29" s="124">
        <f>SUMIFS([2]SD!O:O,[2]SD!A:A,N29,[2]SD!H:H,$P$2)+SUMIFS([2]SD!O:O,[2]SD!A:A,N29,[2]SD!H:H,$T$2)</f>
        <v>0</v>
      </c>
      <c r="BY29" s="161">
        <f t="shared" si="31"/>
        <v>0</v>
      </c>
      <c r="BZ29" s="122">
        <f>SUMIFS([2]SB!H:H,[2]SB!B:B,N29,[2]SB!A:A,$P$2)+SUMIFS([2]SB!H:H,[2]SB!B:B,N29,[2]SB!A:A,$T$2)</f>
        <v>0</v>
      </c>
      <c r="CA29" s="122">
        <f>SUMIFS([2]SB!I:I,[2]SB!B:B,N29,[2]SB!A:A,$P$2)+SUMIFS([2]SB!I:I,[2]SB!B:B,N29,[2]SB!A:A,$T$2)</f>
        <v>0</v>
      </c>
      <c r="CB29" s="154">
        <f t="shared" si="32"/>
        <v>0</v>
      </c>
      <c r="CC29" s="124">
        <f t="shared" si="33"/>
        <v>0</v>
      </c>
      <c r="CD29" s="122">
        <f>SUMIFS([2]SB!Q:Q,[2]SB!B:B,N29,[2]SB!A:A,$P$2)+SUMIFS([2]SB!Q:Q,[2]SB!B:B,N29,[2]SB!A:A,$T$2)</f>
        <v>0</v>
      </c>
      <c r="CE29" s="124">
        <f>SUMIFS([2]SB!O:O,[2]SB!B:B,N29,[2]SB!A:A,$P$2)+SUMIFS([2]SB!O:O,[2]SB!B:B,N29,[2]SB!A:A,$T$2)</f>
        <v>0</v>
      </c>
      <c r="CF29" s="160">
        <f t="shared" si="34"/>
        <v>0</v>
      </c>
      <c r="CG29" s="124">
        <f>SUMIFS([2]SB!L:L,[2]SB!B:B,N29,[2]SB!A:A,$P$2)+SUMIFS([2]SB!L:L,[2]SB!B:B,N29,[2]SB!A:A,$T$2)</f>
        <v>0</v>
      </c>
      <c r="CH29" s="161">
        <f t="shared" si="35"/>
        <v>0</v>
      </c>
    </row>
    <row r="30" s="1" customFormat="1" ht="20" hidden="1" customHeight="1" spans="1:86">
      <c r="A30" s="17" t="str" cm="1">
        <f t="array" ref="A30">IFERROR(LOOKUP(1,0/(([2]业务报告!$A:$A=$N30)*([2]业务报告!$B:$B=$P$2)),[2]业务报告!AU:AU),"")</f>
        <v/>
      </c>
      <c r="B30" s="17" t="str" cm="1">
        <f t="array" ref="B30">IFERROR(LOOKUP(1,0/(([2]业务报告!$A:$A=$N30)*([2]业务报告!$B:$B=$P$2)),[2]业务报告!AV:AV),"")</f>
        <v/>
      </c>
      <c r="C30" s="20">
        <f>SUMIFS([2]业务报告!AC:AC,[2]业务报告!$A:$A,$N30,[2]业务报告!$B:$B,$P$2)</f>
        <v>0</v>
      </c>
      <c r="D30" s="21">
        <f>SUMIFS([2]业务报告!AD:AD,[2]业务报告!$A:$A,$N30,[2]业务报告!$B:$B,$P$2)</f>
        <v>0</v>
      </c>
      <c r="E30" s="20" t="str" cm="1">
        <f t="array" ref="E30">_xlfn.XLOOKUP($N30&amp;$P$2,[2]业务报告!$A:$A&amp;[2]业务报告!$B:$B,[2]业务报告!AE:AE,"")</f>
        <v/>
      </c>
      <c r="F30" s="28" cm="1">
        <f t="array" ref="F30">IFERROR(LOOKUP(1,0/(([2]业务报告!$A:$A=$N30)*([2]业务报告!$B:$B=$P$2)),[2]业务报告!AK:AK),0)</f>
        <v>0</v>
      </c>
      <c r="G30" s="29">
        <f>SUMIFS([2]业务报告!AF:AF,[2]业务报告!$A:$A,$N30,[2]业务报告!$B:$B,$P$2)</f>
        <v>0</v>
      </c>
      <c r="H30" s="30" cm="1">
        <f t="array" ref="H30">IFERROR(LOOKUP(1,0/(([2]业务报告!$A:$A=$N30)*([2]业务报告!B:B=$P$2)),[2]业务报告!AG:AG),0)</f>
        <v>0</v>
      </c>
      <c r="I30" s="30" cm="1">
        <f t="array" ref="I30">IFERROR(LOOKUP(1,0/(([2]业务报告!$A:$A=$N30)*([2]业务报告!$B:$B=$P$2)),[2]业务报告!AH:AH),0)</f>
        <v>0</v>
      </c>
      <c r="J30" s="30">
        <f>SUMIFS([2]WT报告!A:A,[2]WT报告!$C:$C,$N30,[2]WT报告!$H:$H,$X$2)</f>
        <v>0</v>
      </c>
      <c r="K30" s="28" cm="1">
        <f t="array" ref="K30">IFERROR(LOOKUP(1,0/(([2]业务报告!$A:$A=$N30)*([2]业务报告!$B:$B=$P$2)),[2]业务报告!AI:AI),0)</f>
        <v>0</v>
      </c>
      <c r="L30" s="28" cm="1">
        <f t="array" ref="L30">IFERROR(LOOKUP(1,0/(([2]业务报告!$A:$A=$N30)*([2]业务报告!$B:$B=$P$2)),[2]业务报告!AJ:AJ),0)</f>
        <v>0</v>
      </c>
      <c r="M30" s="49" t="str">
        <f t="shared" si="0"/>
        <v>周5</v>
      </c>
      <c r="N30" s="50">
        <f>DATE($O$1,$O$2,DAY(N29)+1)</f>
        <v>45926</v>
      </c>
      <c r="O30" s="51">
        <f>SUMIFS([2]业务报告!G:G,[2]业务报告!$A:$A,$N30,[2]业务报告!$B:$B,$P$2)+SUMIFS([2]业务报告!G:G,[2]业务报告!$A:$A,$N30,[2]业务报告!$B:$B,$T$2)</f>
        <v>0</v>
      </c>
      <c r="P30" s="51">
        <f>SUMIFS([2]业务报告!H:H,[2]业务报告!$A:$A,$N30,[2]业务报告!$B:$B,$P$2)+SUMIFS([2]业务报告!H:H,[2]业务报告!$A:$A,$N30,[2]业务报告!$B:$B,$T$2)</f>
        <v>0</v>
      </c>
      <c r="Q30" s="51">
        <f>SUMIFS([2]业务报告!I:I,[2]业务报告!$A:$A,$N30,[2]业务报告!$B:$B,$P$2)+SUMIFS([2]业务报告!I:I,[2]业务报告!$A:$A,$N30,[2]业务报告!$B:$B,$T$2)</f>
        <v>0</v>
      </c>
      <c r="R30" s="51">
        <f>SUMIFS([2]业务报告!T:T,[2]业务报告!$A:$A,$N30,[2]业务报告!$B:$B,$P$2)+SUMIFS([2]业务报告!T:T,[2]业务报告!$A:$A,$N30,[2]业务报告!$B:$B,$T$2)</f>
        <v>0</v>
      </c>
      <c r="S30" s="65">
        <f t="shared" si="1"/>
        <v>0</v>
      </c>
      <c r="T30" s="66">
        <f>SUMIFS([2]业务报告!X:X,[2]业务报告!$A:$A,$N30,[2]业务报告!$B:$B,$P$2)+SUMIFS([2]业务报告!X:X,[2]业务报告!$A:$A,$N30,[2]业务报告!$B:$B,$T$2)</f>
        <v>0</v>
      </c>
      <c r="U30" s="28">
        <f>SUMIFS([2]业务报告!AO:AO,[2]业务报告!$A:$A,$N30,[2]业务报告!$B:$B,$P$2)+SUMIFS([2]业务报告!AP:AP,[2]业务报告!$A:$A,$N30,[2]业务报告!$B:$B,$P$2)</f>
        <v>0</v>
      </c>
      <c r="V30" s="73">
        <f>SUMIFS([2]WT报告!I:I,[2]WT报告!$C:$C,$N30,[2]WT报告!$H:$H,$X$2)</f>
        <v>0</v>
      </c>
      <c r="W30" s="66">
        <f>SUMIFS([2]WT报告!Z:Z,[2]WT报告!$C:$C,$N30,[2]WT报告!$H:$H,$X$2)</f>
        <v>0</v>
      </c>
      <c r="X30" s="73">
        <f>SUMIFS([2]业务报告!AS:AS,[2]业务报告!$A:$A,$N30,[2]业务报告!$B:$B,$P$2)+SUMIFS([2]业务报告!AS:AS,[2]业务报告!$A:$A,$N30,[2]业务报告!$B:$B,$T$2)+V30</f>
        <v>0</v>
      </c>
      <c r="Y30" s="85">
        <f>SUMIFS([2]业务报告!AO:AO,[2]业务报告!$A:$A,$N30,[2]业务报告!$B:$B,$P$2)*SUMIFS([2]业务报告!AM:AM,[2]业务报告!$A:$A,$N30,[2]业务报告!$B:$B,$P$2)/$AC$2+SUMIFS([2]业务报告!AP:AP,[2]业务报告!$A:$A,$N30,[2]业务报告!$B:$B,$P$2)*SUMIFS([2]业务报告!AN:AN,[2]业务报告!$A:$A,$N30,[2]业务报告!$B:$B,$P$2)/$AC$2</f>
        <v>0</v>
      </c>
      <c r="Z30" s="86">
        <f>(I30*(1-$AD$2-4%-10%)-$AD$1-$AC$1/$AC$2)*BB30-BC30</f>
        <v>0</v>
      </c>
      <c r="AA30" s="87">
        <f>(I30*(1-$AD$2-4%-10%)-$AD$1-$AC$1/$AC$2)*(R30-IF(R30&gt;V30,SUMIFS([2]业务报告!AO:AO,[2]业务报告!$A:$A,$N30,[2]业务报告!$B:$B,$P$2),0))-BC30</f>
        <v>0</v>
      </c>
      <c r="AB30" s="88">
        <f t="shared" si="2"/>
        <v>0</v>
      </c>
      <c r="AC30" s="86">
        <f>AR30*(J30-$AC$1/$AC$2-J30*4%)-AS30</f>
        <v>0</v>
      </c>
      <c r="AD30" s="87">
        <f>(V30-IF(R30&lt;V30,SUMIFS([2]业务报告!AO:AO,[2]业务报告!$A:$A,$N30,[2]业务报告!$B:$B,$P$2),0))*(J30-$AC$1/$AC$2-J30*4%)-AS30</f>
        <v>0</v>
      </c>
      <c r="AE30" s="87" cm="1">
        <f t="array" ref="AE30">IFERROR(LOOKUP(1,0/(([2]业务报告!$A:$A=$N30)*([2]业务报告!$B:$B=$P$2)),[2]业务报告!AQ:AQ),0)*$AH$2</f>
        <v>0</v>
      </c>
      <c r="AF30" s="87" cm="1">
        <f t="array" ref="AF30">IFERROR(LOOKUP(1,0/(([2]业务报告!$A:$A=$N30)*([2]业务报告!$B:$B=$P$2)),[2]业务报告!AR:AR),0)*$AG$2</f>
        <v>0</v>
      </c>
      <c r="AG30" s="87">
        <f t="shared" si="3"/>
        <v>0</v>
      </c>
      <c r="AH30" s="88">
        <f t="shared" si="4"/>
        <v>0</v>
      </c>
      <c r="AI30" s="116">
        <f t="shared" si="5"/>
        <v>0</v>
      </c>
      <c r="AJ30" s="117">
        <f t="shared" si="6"/>
        <v>0</v>
      </c>
      <c r="AK30" s="122">
        <f t="shared" si="7"/>
        <v>0</v>
      </c>
      <c r="AL30" s="116">
        <f>SUMIFS([2]WT报告!S:S,[2]WT报告!$C:$C,$N30,[2]WT报告!$H:$H,$X$2)</f>
        <v>0</v>
      </c>
      <c r="AM30" s="123">
        <f t="shared" si="8"/>
        <v>0</v>
      </c>
      <c r="AN30" s="124">
        <f>SUMIFS([2]WT报告!N:N,[2]WT报告!$C:$C,$N30,[2]WT报告!$H:$H,$X$2)</f>
        <v>0</v>
      </c>
      <c r="AO30" s="117">
        <f t="shared" si="9"/>
        <v>0</v>
      </c>
      <c r="AP30" s="87">
        <f>SUMIFS([2]WT报告!P:P,[2]WT报告!$C:$C,$N30,[2]WT报告!$H:$H,$X$2)</f>
        <v>0</v>
      </c>
      <c r="AQ30" s="129">
        <f>SUMIFS([2]WT报告!Q:Q,[2]WT报告!$C:$C,$N30,[2]WT报告!$H:$H,$X$2)</f>
        <v>0</v>
      </c>
      <c r="AR30" s="87">
        <f>SUMIFS([2]WT报告!J:J,[2]WT报告!$C:$C,$N30,[2]WT报告!$H:$H,$X$2)</f>
        <v>0</v>
      </c>
      <c r="AS30" s="133">
        <f>SUMIFS([2]WT报告!M:M,[2]WT报告!$C:$C,$N30,[2]WT报告!$H:$H,$X$2)</f>
        <v>0</v>
      </c>
      <c r="AT30" s="134">
        <f t="shared" si="10"/>
        <v>0</v>
      </c>
      <c r="AU30" s="122">
        <f t="shared" si="11"/>
        <v>0</v>
      </c>
      <c r="AV30" s="133">
        <f t="shared" si="12"/>
        <v>0</v>
      </c>
      <c r="AW30" s="123">
        <f t="shared" si="13"/>
        <v>0</v>
      </c>
      <c r="AX30" s="124">
        <f t="shared" si="14"/>
        <v>0</v>
      </c>
      <c r="AY30" s="117">
        <f t="shared" si="15"/>
        <v>0</v>
      </c>
      <c r="AZ30" s="122">
        <f t="shared" si="16"/>
        <v>0</v>
      </c>
      <c r="BA30" s="142">
        <f t="shared" si="17"/>
        <v>0</v>
      </c>
      <c r="BB30" s="122">
        <f t="shared" si="18"/>
        <v>0</v>
      </c>
      <c r="BC30" s="133">
        <f t="shared" si="19"/>
        <v>0</v>
      </c>
      <c r="BD30" s="123">
        <f t="shared" si="20"/>
        <v>0</v>
      </c>
      <c r="BE30" s="150">
        <f t="shared" si="21"/>
        <v>0</v>
      </c>
      <c r="BF30" s="123">
        <f t="shared" si="22"/>
        <v>0</v>
      </c>
      <c r="BG30" s="122">
        <f t="shared" si="23"/>
        <v>0</v>
      </c>
      <c r="BH30" s="122">
        <f>SUMIFS([2]SP!J:J,[2]SP!A:A,N30,[2]SP!H:H,$P$2)+SUMIFS([2]SP!J:J,[2]SP!A:A,N30,[2]SP!H:H,$T$2)</f>
        <v>0</v>
      </c>
      <c r="BI30" s="122">
        <f>SUMIFS([2]SP!K:K,[2]SP!A:A,N30,[2]SP!H:H,$P$2)+SUMIFS([2]SP!K:K,[2]SP!A:A,N30,[2]SP!H:H,$T$2)</f>
        <v>0</v>
      </c>
      <c r="BJ30" s="154">
        <f t="shared" si="24"/>
        <v>0</v>
      </c>
      <c r="BK30" s="124">
        <f t="shared" si="25"/>
        <v>0</v>
      </c>
      <c r="BL30" s="122">
        <f>SUMIFS([2]SP!R:R,[2]SP!A:A,N30,[2]SP!H:H,$P$2)+SUMIFS([2]SP!R:R,[2]SP!A:A,N30,[2]SP!H:H,$T$2)</f>
        <v>0</v>
      </c>
      <c r="BM30" s="124">
        <f>SUMIFS([2]SP!O:O,[2]SP!A:A,$N30,[2]SP!H:H,$P$2)+SUMIFS([2]SP!O:O,[2]SP!A:A,$N30,[2]SP!H:H,$T$2)</f>
        <v>0</v>
      </c>
      <c r="BN30" s="160">
        <f t="shared" si="26"/>
        <v>0</v>
      </c>
      <c r="BO30" s="122">
        <f>SUMIFS([2]SP!N:N,[2]SP!A:A,N30,[2]SP!H:H,$P$2)+SUMIFS([2]SP!N:N,[2]SP!A:A,N30,[2]SP!H:H,$T$2)</f>
        <v>0</v>
      </c>
      <c r="BP30" s="161">
        <f t="shared" si="27"/>
        <v>0</v>
      </c>
      <c r="BQ30" s="122">
        <f>SUMIFS([2]SD!J:J,[2]SD!A:A,N30,[2]SD!H:H,$P$2)+SUMIFS([2]SD!J:J,[2]SD!A:A,N30,[2]SD!H:H,$T$2)</f>
        <v>0</v>
      </c>
      <c r="BR30" s="122">
        <f>SUMIFS([2]SD!L:L,[2]SD!A:A,N30,[2]SD!H:H,$P$2)+SUMIFS([2]SD!L:L,[2]SD!A:A,N30,[2]SD!H:H,$T$2)</f>
        <v>0</v>
      </c>
      <c r="BS30" s="154">
        <f t="shared" si="28"/>
        <v>0</v>
      </c>
      <c r="BT30" s="124">
        <f t="shared" si="29"/>
        <v>0</v>
      </c>
      <c r="BU30" s="122">
        <f>SUMIFS([2]SD!U:U,[2]SD!A:A,N30,[2]SD!H:H,$P$2)+SUMIFS([2]SD!U:U,[2]SD!A:A,N30,[2]SD!H:H,$T$2)</f>
        <v>0</v>
      </c>
      <c r="BV30" s="124">
        <f>SUMIFS([2]SD!V:V,[2]SD!A:A,N30,[2]SD!H:H,$P$2)+SUMIFS([2]SD!V:V,[2]SD!A:A,N30,[2]SD!H:H,$T$2)</f>
        <v>0</v>
      </c>
      <c r="BW30" s="160">
        <f t="shared" si="30"/>
        <v>0</v>
      </c>
      <c r="BX30" s="124">
        <f>SUMIFS([2]SD!O:O,[2]SD!A:A,N30,[2]SD!H:H,$P$2)+SUMIFS([2]SD!O:O,[2]SD!A:A,N30,[2]SD!H:H,$T$2)</f>
        <v>0</v>
      </c>
      <c r="BY30" s="161">
        <f t="shared" si="31"/>
        <v>0</v>
      </c>
      <c r="BZ30" s="122">
        <f>SUMIFS([2]SB!H:H,[2]SB!B:B,N30,[2]SB!A:A,$P$2)+SUMIFS([2]SB!H:H,[2]SB!B:B,N30,[2]SB!A:A,$T$2)</f>
        <v>0</v>
      </c>
      <c r="CA30" s="122">
        <f>SUMIFS([2]SB!I:I,[2]SB!B:B,N30,[2]SB!A:A,$P$2)+SUMIFS([2]SB!I:I,[2]SB!B:B,N30,[2]SB!A:A,$T$2)</f>
        <v>0</v>
      </c>
      <c r="CB30" s="154">
        <f t="shared" si="32"/>
        <v>0</v>
      </c>
      <c r="CC30" s="124">
        <f t="shared" si="33"/>
        <v>0</v>
      </c>
      <c r="CD30" s="122">
        <f>SUMIFS([2]SB!Q:Q,[2]SB!B:B,N30,[2]SB!A:A,$P$2)+SUMIFS([2]SB!Q:Q,[2]SB!B:B,N30,[2]SB!A:A,$T$2)</f>
        <v>0</v>
      </c>
      <c r="CE30" s="124">
        <f>SUMIFS([2]SB!O:O,[2]SB!B:B,N30,[2]SB!A:A,$P$2)+SUMIFS([2]SB!O:O,[2]SB!B:B,N30,[2]SB!A:A,$T$2)</f>
        <v>0</v>
      </c>
      <c r="CF30" s="160">
        <f t="shared" si="34"/>
        <v>0</v>
      </c>
      <c r="CG30" s="124">
        <f>SUMIFS([2]SB!L:L,[2]SB!B:B,N30,[2]SB!A:A,$P$2)+SUMIFS([2]SB!L:L,[2]SB!B:B,N30,[2]SB!A:A,$T$2)</f>
        <v>0</v>
      </c>
      <c r="CH30" s="161">
        <f t="shared" si="35"/>
        <v>0</v>
      </c>
    </row>
    <row r="31" s="1" customFormat="1" ht="20" hidden="1" customHeight="1" spans="1:86">
      <c r="A31" s="17" t="str" cm="1">
        <f t="array" ref="A31">IFERROR(LOOKUP(1,0/(([2]业务报告!$A:$A=$N31)*([2]业务报告!$B:$B=$P$2)),[2]业务报告!AU:AU),"")</f>
        <v/>
      </c>
      <c r="B31" s="17" t="str" cm="1">
        <f t="array" ref="B31">IFERROR(LOOKUP(1,0/(([2]业务报告!$A:$A=$N31)*([2]业务报告!$B:$B=$P$2)),[2]业务报告!AV:AV),"")</f>
        <v/>
      </c>
      <c r="C31" s="20">
        <f>SUMIFS([2]业务报告!AC:AC,[2]业务报告!$A:$A,$N31,[2]业务报告!$B:$B,$P$2)</f>
        <v>0</v>
      </c>
      <c r="D31" s="21">
        <f>SUMIFS([2]业务报告!AD:AD,[2]业务报告!$A:$A,$N31,[2]业务报告!$B:$B,$P$2)</f>
        <v>0</v>
      </c>
      <c r="E31" s="20" t="str" cm="1">
        <f t="array" ref="E31">_xlfn.XLOOKUP($N31&amp;$P$2,[2]业务报告!$A:$A&amp;[2]业务报告!$B:$B,[2]业务报告!AE:AE,"")</f>
        <v/>
      </c>
      <c r="F31" s="28" cm="1">
        <f t="array" ref="F31">IFERROR(LOOKUP(1,0/(([2]业务报告!$A:$A=$N31)*([2]业务报告!$B:$B=$P$2)),[2]业务报告!AK:AK),0)</f>
        <v>0</v>
      </c>
      <c r="G31" s="29">
        <f>SUMIFS([2]业务报告!AF:AF,[2]业务报告!$A:$A,$N31,[2]业务报告!$B:$B,$P$2)</f>
        <v>0</v>
      </c>
      <c r="H31" s="30" cm="1">
        <f t="array" ref="H31">IFERROR(LOOKUP(1,0/(([2]业务报告!$A:$A=$N31)*([2]业务报告!B:B=$P$2)),[2]业务报告!AG:AG),0)</f>
        <v>0</v>
      </c>
      <c r="I31" s="30" cm="1">
        <f t="array" ref="I31">IFERROR(LOOKUP(1,0/(([2]业务报告!$A:$A=$N31)*([2]业务报告!$B:$B=$P$2)),[2]业务报告!AH:AH),0)</f>
        <v>0</v>
      </c>
      <c r="J31" s="30">
        <f>SUMIFS([2]WT报告!A:A,[2]WT报告!$C:$C,$N31,[2]WT报告!$H:$H,$X$2)</f>
        <v>0</v>
      </c>
      <c r="K31" s="28" cm="1">
        <f t="array" ref="K31">IFERROR(LOOKUP(1,0/(([2]业务报告!$A:$A=$N31)*([2]业务报告!$B:$B=$P$2)),[2]业务报告!AI:AI),0)</f>
        <v>0</v>
      </c>
      <c r="L31" s="28" cm="1">
        <f t="array" ref="L31">IFERROR(LOOKUP(1,0/(([2]业务报告!$A:$A=$N31)*([2]业务报告!$B:$B=$P$2)),[2]业务报告!AJ:AJ),0)</f>
        <v>0</v>
      </c>
      <c r="M31" s="49" t="str">
        <f t="shared" si="0"/>
        <v>周6</v>
      </c>
      <c r="N31" s="50">
        <f>DATE($O$1,$O$2,DAY(N30)+1)</f>
        <v>45927</v>
      </c>
      <c r="O31" s="51">
        <f>SUMIFS([2]业务报告!G:G,[2]业务报告!$A:$A,$N31,[2]业务报告!$B:$B,$P$2)+SUMIFS([2]业务报告!G:G,[2]业务报告!$A:$A,$N31,[2]业务报告!$B:$B,$T$2)</f>
        <v>0</v>
      </c>
      <c r="P31" s="51">
        <f>SUMIFS([2]业务报告!H:H,[2]业务报告!$A:$A,$N31,[2]业务报告!$B:$B,$P$2)+SUMIFS([2]业务报告!H:H,[2]业务报告!$A:$A,$N31,[2]业务报告!$B:$B,$T$2)</f>
        <v>0</v>
      </c>
      <c r="Q31" s="51">
        <f>SUMIFS([2]业务报告!I:I,[2]业务报告!$A:$A,$N31,[2]业务报告!$B:$B,$P$2)+SUMIFS([2]业务报告!I:I,[2]业务报告!$A:$A,$N31,[2]业务报告!$B:$B,$T$2)</f>
        <v>0</v>
      </c>
      <c r="R31" s="51">
        <f>SUMIFS([2]业务报告!T:T,[2]业务报告!$A:$A,$N31,[2]业务报告!$B:$B,$P$2)+SUMIFS([2]业务报告!T:T,[2]业务报告!$A:$A,$N31,[2]业务报告!$B:$B,$T$2)</f>
        <v>0</v>
      </c>
      <c r="S31" s="65">
        <f t="shared" si="1"/>
        <v>0</v>
      </c>
      <c r="T31" s="66">
        <f>SUMIFS([2]业务报告!X:X,[2]业务报告!$A:$A,$N31,[2]业务报告!$B:$B,$P$2)+SUMIFS([2]业务报告!X:X,[2]业务报告!$A:$A,$N31,[2]业务报告!$B:$B,$T$2)</f>
        <v>0</v>
      </c>
      <c r="U31" s="28">
        <f>SUMIFS([2]业务报告!AO:AO,[2]业务报告!$A:$A,$N31,[2]业务报告!$B:$B,$P$2)+SUMIFS([2]业务报告!AP:AP,[2]业务报告!$A:$A,$N31,[2]业务报告!$B:$B,$P$2)</f>
        <v>0</v>
      </c>
      <c r="V31" s="73">
        <f>SUMIFS([2]WT报告!I:I,[2]WT报告!$C:$C,$N31,[2]WT报告!$H:$H,$X$2)</f>
        <v>0</v>
      </c>
      <c r="W31" s="66">
        <f>SUMIFS([2]WT报告!Z:Z,[2]WT报告!$C:$C,$N31,[2]WT报告!$H:$H,$X$2)</f>
        <v>0</v>
      </c>
      <c r="X31" s="73">
        <f>SUMIFS([2]业务报告!AS:AS,[2]业务报告!$A:$A,$N31,[2]业务报告!$B:$B,$P$2)+SUMIFS([2]业务报告!AS:AS,[2]业务报告!$A:$A,$N31,[2]业务报告!$B:$B,$T$2)+V31</f>
        <v>0</v>
      </c>
      <c r="Y31" s="85">
        <f>SUMIFS([2]业务报告!AO:AO,[2]业务报告!$A:$A,$N31,[2]业务报告!$B:$B,$P$2)*SUMIFS([2]业务报告!AM:AM,[2]业务报告!$A:$A,$N31,[2]业务报告!$B:$B,$P$2)/$AC$2+SUMIFS([2]业务报告!AP:AP,[2]业务报告!$A:$A,$N31,[2]业务报告!$B:$B,$P$2)*SUMIFS([2]业务报告!AN:AN,[2]业务报告!$A:$A,$N31,[2]业务报告!$B:$B,$P$2)/$AC$2</f>
        <v>0</v>
      </c>
      <c r="Z31" s="86">
        <f>(I31*(1-$AD$2-4%-10%)-$AD$1-$AC$1/$AC$2)*BB31-BC31</f>
        <v>0</v>
      </c>
      <c r="AA31" s="87">
        <f>(I31*(1-$AD$2-4%-10%)-$AD$1-$AC$1/$AC$2)*(R31-IF(R31&gt;V31,SUMIFS([2]业务报告!AO:AO,[2]业务报告!$A:$A,$N31,[2]业务报告!$B:$B,$P$2),0))-BC31</f>
        <v>0</v>
      </c>
      <c r="AB31" s="88">
        <f t="shared" si="2"/>
        <v>0</v>
      </c>
      <c r="AC31" s="86">
        <f>AR31*(J31-$AC$1/$AC$2-J31*4%)-AS31</f>
        <v>0</v>
      </c>
      <c r="AD31" s="87">
        <f>(V31-IF(R31&lt;V31,SUMIFS([2]业务报告!AO:AO,[2]业务报告!$A:$A,$N31,[2]业务报告!$B:$B,$P$2),0))*(J31-$AC$1/$AC$2-J31*4%)-AS31</f>
        <v>0</v>
      </c>
      <c r="AE31" s="87" cm="1">
        <f t="array" ref="AE31">IFERROR(LOOKUP(1,0/(([2]业务报告!$A:$A=$N31)*([2]业务报告!$B:$B=$P$2)),[2]业务报告!AQ:AQ),0)*$AH$2</f>
        <v>0</v>
      </c>
      <c r="AF31" s="87" cm="1">
        <f t="array" ref="AF31">IFERROR(LOOKUP(1,0/(([2]业务报告!$A:$A=$N31)*([2]业务报告!$B:$B=$P$2)),[2]业务报告!AR:AR),0)*$AG$2</f>
        <v>0</v>
      </c>
      <c r="AG31" s="87">
        <f t="shared" si="3"/>
        <v>0</v>
      </c>
      <c r="AH31" s="88">
        <f t="shared" si="4"/>
        <v>0</v>
      </c>
      <c r="AI31" s="116">
        <f t="shared" si="5"/>
        <v>0</v>
      </c>
      <c r="AJ31" s="117">
        <f t="shared" si="6"/>
        <v>0</v>
      </c>
      <c r="AK31" s="122">
        <f t="shared" si="7"/>
        <v>0</v>
      </c>
      <c r="AL31" s="116">
        <f>SUMIFS([2]WT报告!S:S,[2]WT报告!$C:$C,$N31,[2]WT报告!$H:$H,$X$2)</f>
        <v>0</v>
      </c>
      <c r="AM31" s="123">
        <f t="shared" si="8"/>
        <v>0</v>
      </c>
      <c r="AN31" s="124">
        <f>SUMIFS([2]WT报告!N:N,[2]WT报告!$C:$C,$N31,[2]WT报告!$H:$H,$X$2)</f>
        <v>0</v>
      </c>
      <c r="AO31" s="117">
        <f t="shared" si="9"/>
        <v>0</v>
      </c>
      <c r="AP31" s="87">
        <f>SUMIFS([2]WT报告!P:P,[2]WT报告!$C:$C,$N31,[2]WT报告!$H:$H,$X$2)</f>
        <v>0</v>
      </c>
      <c r="AQ31" s="129">
        <f>SUMIFS([2]WT报告!Q:Q,[2]WT报告!$C:$C,$N31,[2]WT报告!$H:$H,$X$2)</f>
        <v>0</v>
      </c>
      <c r="AR31" s="87">
        <f>SUMIFS([2]WT报告!J:J,[2]WT报告!$C:$C,$N31,[2]WT报告!$H:$H,$X$2)</f>
        <v>0</v>
      </c>
      <c r="AS31" s="133">
        <f>SUMIFS([2]WT报告!M:M,[2]WT报告!$C:$C,$N31,[2]WT报告!$H:$H,$X$2)</f>
        <v>0</v>
      </c>
      <c r="AT31" s="134">
        <f t="shared" si="10"/>
        <v>0</v>
      </c>
      <c r="AU31" s="122">
        <f t="shared" si="11"/>
        <v>0</v>
      </c>
      <c r="AV31" s="133">
        <f t="shared" si="12"/>
        <v>0</v>
      </c>
      <c r="AW31" s="123">
        <f t="shared" si="13"/>
        <v>0</v>
      </c>
      <c r="AX31" s="124">
        <f t="shared" si="14"/>
        <v>0</v>
      </c>
      <c r="AY31" s="117">
        <f t="shared" si="15"/>
        <v>0</v>
      </c>
      <c r="AZ31" s="122">
        <f t="shared" si="16"/>
        <v>0</v>
      </c>
      <c r="BA31" s="142">
        <f t="shared" si="17"/>
        <v>0</v>
      </c>
      <c r="BB31" s="122">
        <f t="shared" si="18"/>
        <v>0</v>
      </c>
      <c r="BC31" s="133">
        <f t="shared" si="19"/>
        <v>0</v>
      </c>
      <c r="BD31" s="123">
        <f t="shared" si="20"/>
        <v>0</v>
      </c>
      <c r="BE31" s="150">
        <f t="shared" si="21"/>
        <v>0</v>
      </c>
      <c r="BF31" s="123">
        <f t="shared" si="22"/>
        <v>0</v>
      </c>
      <c r="BG31" s="122">
        <f t="shared" si="23"/>
        <v>0</v>
      </c>
      <c r="BH31" s="122">
        <f>SUMIFS([2]SP!J:J,[2]SP!A:A,N31,[2]SP!H:H,$P$2)+SUMIFS([2]SP!J:J,[2]SP!A:A,N31,[2]SP!H:H,$T$2)</f>
        <v>0</v>
      </c>
      <c r="BI31" s="122">
        <f>SUMIFS([2]SP!K:K,[2]SP!A:A,N31,[2]SP!H:H,$P$2)+SUMIFS([2]SP!K:K,[2]SP!A:A,N31,[2]SP!H:H,$T$2)</f>
        <v>0</v>
      </c>
      <c r="BJ31" s="154">
        <f t="shared" si="24"/>
        <v>0</v>
      </c>
      <c r="BK31" s="124">
        <f t="shared" si="25"/>
        <v>0</v>
      </c>
      <c r="BL31" s="122">
        <f>SUMIFS([2]SP!R:R,[2]SP!A:A,N31,[2]SP!H:H,$P$2)+SUMIFS([2]SP!R:R,[2]SP!A:A,N31,[2]SP!H:H,$T$2)</f>
        <v>0</v>
      </c>
      <c r="BM31" s="124">
        <f>SUMIFS([2]SP!O:O,[2]SP!A:A,$N31,[2]SP!H:H,$P$2)+SUMIFS([2]SP!O:O,[2]SP!A:A,$N31,[2]SP!H:H,$T$2)</f>
        <v>0</v>
      </c>
      <c r="BN31" s="160">
        <f t="shared" si="26"/>
        <v>0</v>
      </c>
      <c r="BO31" s="122">
        <f>SUMIFS([2]SP!N:N,[2]SP!A:A,N31,[2]SP!H:H,$P$2)+SUMIFS([2]SP!N:N,[2]SP!A:A,N31,[2]SP!H:H,$T$2)</f>
        <v>0</v>
      </c>
      <c r="BP31" s="161">
        <f t="shared" si="27"/>
        <v>0</v>
      </c>
      <c r="BQ31" s="122">
        <f>SUMIFS([2]SD!J:J,[2]SD!A:A,N31,[2]SD!H:H,$P$2)+SUMIFS([2]SD!J:J,[2]SD!A:A,N31,[2]SD!H:H,$T$2)</f>
        <v>0</v>
      </c>
      <c r="BR31" s="122">
        <f>SUMIFS([2]SD!L:L,[2]SD!A:A,N31,[2]SD!H:H,$P$2)+SUMIFS([2]SD!L:L,[2]SD!A:A,N31,[2]SD!H:H,$T$2)</f>
        <v>0</v>
      </c>
      <c r="BS31" s="154">
        <f t="shared" si="28"/>
        <v>0</v>
      </c>
      <c r="BT31" s="124">
        <f t="shared" si="29"/>
        <v>0</v>
      </c>
      <c r="BU31" s="122">
        <f>SUMIFS([2]SD!U:U,[2]SD!A:A,N31,[2]SD!H:H,$P$2)+SUMIFS([2]SD!U:U,[2]SD!A:A,N31,[2]SD!H:H,$T$2)</f>
        <v>0</v>
      </c>
      <c r="BV31" s="124">
        <f>SUMIFS([2]SD!V:V,[2]SD!A:A,N31,[2]SD!H:H,$P$2)+SUMIFS([2]SD!V:V,[2]SD!A:A,N31,[2]SD!H:H,$T$2)</f>
        <v>0</v>
      </c>
      <c r="BW31" s="160">
        <f t="shared" si="30"/>
        <v>0</v>
      </c>
      <c r="BX31" s="124">
        <f>SUMIFS([2]SD!O:O,[2]SD!A:A,N31,[2]SD!H:H,$P$2)+SUMIFS([2]SD!O:O,[2]SD!A:A,N31,[2]SD!H:H,$T$2)</f>
        <v>0</v>
      </c>
      <c r="BY31" s="161">
        <f t="shared" si="31"/>
        <v>0</v>
      </c>
      <c r="BZ31" s="122">
        <f>SUMIFS([2]SB!H:H,[2]SB!B:B,N31,[2]SB!A:A,$P$2)+SUMIFS([2]SB!H:H,[2]SB!B:B,N31,[2]SB!A:A,$T$2)</f>
        <v>0</v>
      </c>
      <c r="CA31" s="122">
        <f>SUMIFS([2]SB!I:I,[2]SB!B:B,N31,[2]SB!A:A,$P$2)+SUMIFS([2]SB!I:I,[2]SB!B:B,N31,[2]SB!A:A,$T$2)</f>
        <v>0</v>
      </c>
      <c r="CB31" s="154">
        <f t="shared" si="32"/>
        <v>0</v>
      </c>
      <c r="CC31" s="124">
        <f t="shared" si="33"/>
        <v>0</v>
      </c>
      <c r="CD31" s="122">
        <f>SUMIFS([2]SB!Q:Q,[2]SB!B:B,N31,[2]SB!A:A,$P$2)+SUMIFS([2]SB!Q:Q,[2]SB!B:B,N31,[2]SB!A:A,$T$2)</f>
        <v>0</v>
      </c>
      <c r="CE31" s="124">
        <f>SUMIFS([2]SB!O:O,[2]SB!B:B,N31,[2]SB!A:A,$P$2)+SUMIFS([2]SB!O:O,[2]SB!B:B,N31,[2]SB!A:A,$T$2)</f>
        <v>0</v>
      </c>
      <c r="CF31" s="160">
        <f t="shared" si="34"/>
        <v>0</v>
      </c>
      <c r="CG31" s="124">
        <f>SUMIFS([2]SB!L:L,[2]SB!B:B,N31,[2]SB!A:A,$P$2)+SUMIFS([2]SB!L:L,[2]SB!B:B,N31,[2]SB!A:A,$T$2)</f>
        <v>0</v>
      </c>
      <c r="CH31" s="161">
        <f t="shared" si="35"/>
        <v>0</v>
      </c>
    </row>
    <row r="32" s="1" customFormat="1" ht="20" customHeight="1" spans="1:86">
      <c r="A32" s="17" t="str" cm="1">
        <f t="array" ref="A32">IFERROR(LOOKUP(1,0/(([2]业务报告!$A:$A=$N32)*([2]业务报告!$B:$B=$P$2)),[2]业务报告!AU:AU),"")</f>
        <v/>
      </c>
      <c r="B32" s="17" t="str" cm="1">
        <f t="array" ref="B32">IFERROR(LOOKUP(1,0/(([2]业务报告!$A:$A=$N32)*([2]业务报告!$B:$B=$P$2)),[2]业务报告!AV:AV),"")</f>
        <v/>
      </c>
      <c r="C32" s="20">
        <f>SUMIFS([2]业务报告!AC:AC,[2]业务报告!$A:$A,$N32,[2]业务报告!$B:$B,$P$2)</f>
        <v>0</v>
      </c>
      <c r="D32" s="21">
        <f>SUMIFS([2]业务报告!AD:AD,[2]业务报告!$A:$A,$N32,[2]业务报告!$B:$B,$P$2)</f>
        <v>0</v>
      </c>
      <c r="E32" s="20" t="str" cm="1">
        <f t="array" ref="E32">_xlfn.XLOOKUP($N32&amp;$P$2,[2]业务报告!$A:$A&amp;[2]业务报告!$B:$B,[2]业务报告!AE:AE,"")</f>
        <v/>
      </c>
      <c r="F32" s="28" cm="1">
        <f t="array" ref="F32">IFERROR(LOOKUP(1,0/(([2]业务报告!$A:$A=$N32)*([2]业务报告!$B:$B=$P$2)),[2]业务报告!AK:AK),0)</f>
        <v>0</v>
      </c>
      <c r="G32" s="29">
        <f>SUMIFS([2]业务报告!AF:AF,[2]业务报告!$A:$A,$N32,[2]业务报告!$B:$B,$P$2)</f>
        <v>0</v>
      </c>
      <c r="H32" s="30" cm="1">
        <f t="array" ref="H32">IFERROR(LOOKUP(1,0/(([2]业务报告!$A:$A=$N32)*([2]业务报告!B:B=$P$2)),[2]业务报告!AG:AG),0)</f>
        <v>0</v>
      </c>
      <c r="I32" s="30" cm="1">
        <f t="array" ref="I32">IFERROR(LOOKUP(1,0/(([2]业务报告!$A:$A=$N32)*([2]业务报告!$B:$B=$P$2)),[2]业务报告!AH:AH),0)</f>
        <v>0</v>
      </c>
      <c r="J32" s="30">
        <f>SUMIFS([2]WT报告!A:A,[2]WT报告!$C:$C,$N32,[2]WT报告!$H:$H,$X$2)</f>
        <v>0</v>
      </c>
      <c r="K32" s="28" cm="1">
        <f t="array" ref="K32">IFERROR(LOOKUP(1,0/(([2]业务报告!$A:$A=$N32)*([2]业务报告!$B:$B=$P$2)),[2]业务报告!AI:AI),0)</f>
        <v>0</v>
      </c>
      <c r="L32" s="28" cm="1">
        <f t="array" ref="L32">IFERROR(LOOKUP(1,0/(([2]业务报告!$A:$A=$N32)*([2]业务报告!$B:$B=$P$2)),[2]业务报告!AJ:AJ),0)</f>
        <v>0</v>
      </c>
      <c r="M32" s="49" t="str">
        <f t="shared" si="0"/>
        <v>周7</v>
      </c>
      <c r="N32" s="50">
        <f>DATE($O$1,$O$2,DAY(N31)+1)</f>
        <v>45928</v>
      </c>
      <c r="O32" s="51">
        <f>SUMIFS([2]业务报告!G:G,[2]业务报告!$A:$A,$N32,[2]业务报告!$B:$B,$P$2)+SUMIFS([2]业务报告!G:G,[2]业务报告!$A:$A,$N32,[2]业务报告!$B:$B,$T$2)</f>
        <v>0</v>
      </c>
      <c r="P32" s="51">
        <f>SUMIFS([2]业务报告!H:H,[2]业务报告!$A:$A,$N32,[2]业务报告!$B:$B,$P$2)+SUMIFS([2]业务报告!H:H,[2]业务报告!$A:$A,$N32,[2]业务报告!$B:$B,$T$2)</f>
        <v>0</v>
      </c>
      <c r="Q32" s="51">
        <f>SUMIFS([2]业务报告!I:I,[2]业务报告!$A:$A,$N32,[2]业务报告!$B:$B,$P$2)+SUMIFS([2]业务报告!I:I,[2]业务报告!$A:$A,$N32,[2]业务报告!$B:$B,$T$2)</f>
        <v>0</v>
      </c>
      <c r="R32" s="51">
        <f>SUMIFS([2]业务报告!T:T,[2]业务报告!$A:$A,$N32,[2]业务报告!$B:$B,$P$2)+SUMIFS([2]业务报告!T:T,[2]业务报告!$A:$A,$N32,[2]业务报告!$B:$B,$T$2)</f>
        <v>0</v>
      </c>
      <c r="S32" s="65">
        <f t="shared" si="1"/>
        <v>0</v>
      </c>
      <c r="T32" s="66">
        <f>SUMIFS([2]业务报告!X:X,[2]业务报告!$A:$A,$N32,[2]业务报告!$B:$B,$P$2)+SUMIFS([2]业务报告!X:X,[2]业务报告!$A:$A,$N32,[2]业务报告!$B:$B,$T$2)</f>
        <v>0</v>
      </c>
      <c r="U32" s="28">
        <f>SUMIFS([2]业务报告!AO:AO,[2]业务报告!$A:$A,$N32,[2]业务报告!$B:$B,$P$2)+SUMIFS([2]业务报告!AP:AP,[2]业务报告!$A:$A,$N32,[2]业务报告!$B:$B,$P$2)</f>
        <v>0</v>
      </c>
      <c r="V32" s="73">
        <f>SUMIFS([2]WT报告!I:I,[2]WT报告!$C:$C,$N32,[2]WT报告!$H:$H,$X$2)</f>
        <v>0</v>
      </c>
      <c r="W32" s="66">
        <f>SUMIFS([2]WT报告!Z:Z,[2]WT报告!$C:$C,$N32,[2]WT报告!$H:$H,$X$2)</f>
        <v>0</v>
      </c>
      <c r="X32" s="73">
        <f>SUMIFS([2]业务报告!AS:AS,[2]业务报告!$A:$A,$N32,[2]业务报告!$B:$B,$P$2)+SUMIFS([2]业务报告!AS:AS,[2]业务报告!$A:$A,$N32,[2]业务报告!$B:$B,$T$2)+V32</f>
        <v>0</v>
      </c>
      <c r="Y32" s="85">
        <f>SUMIFS([2]业务报告!AO:AO,[2]业务报告!$A:$A,$N32,[2]业务报告!$B:$B,$P$2)*SUMIFS([2]业务报告!AM:AM,[2]业务报告!$A:$A,$N32,[2]业务报告!$B:$B,$P$2)/$AC$2+SUMIFS([2]业务报告!AP:AP,[2]业务报告!$A:$A,$N32,[2]业务报告!$B:$B,$P$2)*SUMIFS([2]业务报告!AN:AN,[2]业务报告!$A:$A,$N32,[2]业务报告!$B:$B,$P$2)/$AC$2</f>
        <v>0</v>
      </c>
      <c r="Z32" s="86">
        <f>(I32*(1-$AD$2-4%-10%)-$AD$1-$AC$1/$AC$2)*BB32-BC32</f>
        <v>0</v>
      </c>
      <c r="AA32" s="87">
        <f>(I32*(1-$AD$2-4%-10%)-$AD$1-$AC$1/$AC$2)*(R32-IF(R32&gt;V32,SUMIFS([2]业务报告!AO:AO,[2]业务报告!$A:$A,$N32,[2]业务报告!$B:$B,$P$2),0))-BC32</f>
        <v>0</v>
      </c>
      <c r="AB32" s="88">
        <f t="shared" si="2"/>
        <v>0</v>
      </c>
      <c r="AC32" s="86">
        <f>AR32*(J32-$AC$1/$AC$2-J32*4%)-AS32</f>
        <v>0</v>
      </c>
      <c r="AD32" s="87">
        <f>(V32-IF(R32&lt;V32,SUMIFS([2]业务报告!AO:AO,[2]业务报告!$A:$A,$N32,[2]业务报告!$B:$B,$P$2),0))*(J32-$AC$1/$AC$2-J32*4%)-AS32</f>
        <v>0</v>
      </c>
      <c r="AE32" s="87" cm="1">
        <f t="array" ref="AE32">IFERROR(LOOKUP(1,0/(([2]业务报告!$A:$A=$N32)*([2]业务报告!$B:$B=$P$2)),[2]业务报告!AQ:AQ),0)*$AH$2</f>
        <v>0</v>
      </c>
      <c r="AF32" s="87" cm="1">
        <f t="array" ref="AF32">IFERROR(LOOKUP(1,0/(([2]业务报告!$A:$A=$N32)*([2]业务报告!$B:$B=$P$2)),[2]业务报告!AR:AR),0)*$AG$2</f>
        <v>0</v>
      </c>
      <c r="AG32" s="87">
        <f t="shared" si="3"/>
        <v>0</v>
      </c>
      <c r="AH32" s="88">
        <f t="shared" si="4"/>
        <v>0</v>
      </c>
      <c r="AI32" s="116">
        <f t="shared" si="5"/>
        <v>0</v>
      </c>
      <c r="AJ32" s="117">
        <f t="shared" si="6"/>
        <v>0</v>
      </c>
      <c r="AK32" s="122">
        <f t="shared" si="7"/>
        <v>0</v>
      </c>
      <c r="AL32" s="116">
        <f>SUMIFS([2]WT报告!S:S,[2]WT报告!$C:$C,$N32,[2]WT报告!$H:$H,$X$2)</f>
        <v>0</v>
      </c>
      <c r="AM32" s="123">
        <f t="shared" si="8"/>
        <v>0</v>
      </c>
      <c r="AN32" s="124">
        <f>SUMIFS([2]WT报告!N:N,[2]WT报告!$C:$C,$N32,[2]WT报告!$H:$H,$X$2)</f>
        <v>0</v>
      </c>
      <c r="AO32" s="117">
        <f t="shared" si="9"/>
        <v>0</v>
      </c>
      <c r="AP32" s="87">
        <f>SUMIFS([2]WT报告!P:P,[2]WT报告!$C:$C,$N32,[2]WT报告!$H:$H,$X$2)</f>
        <v>0</v>
      </c>
      <c r="AQ32" s="129">
        <f>SUMIFS([2]WT报告!Q:Q,[2]WT报告!$C:$C,$N32,[2]WT报告!$H:$H,$X$2)</f>
        <v>0</v>
      </c>
      <c r="AR32" s="87">
        <f>SUMIFS([2]WT报告!J:J,[2]WT报告!$C:$C,$N32,[2]WT报告!$H:$H,$X$2)</f>
        <v>0</v>
      </c>
      <c r="AS32" s="133">
        <f>SUMIFS([2]WT报告!M:M,[2]WT报告!$C:$C,$N32,[2]WT报告!$H:$H,$X$2)</f>
        <v>0</v>
      </c>
      <c r="AT32" s="134">
        <f t="shared" si="10"/>
        <v>0</v>
      </c>
      <c r="AU32" s="122">
        <f t="shared" si="11"/>
        <v>0</v>
      </c>
      <c r="AV32" s="133">
        <f t="shared" si="12"/>
        <v>0</v>
      </c>
      <c r="AW32" s="123">
        <f t="shared" si="13"/>
        <v>0</v>
      </c>
      <c r="AX32" s="124">
        <f t="shared" si="14"/>
        <v>0</v>
      </c>
      <c r="AY32" s="117">
        <f t="shared" si="15"/>
        <v>0</v>
      </c>
      <c r="AZ32" s="122">
        <f t="shared" si="16"/>
        <v>0</v>
      </c>
      <c r="BA32" s="142">
        <f t="shared" si="17"/>
        <v>0</v>
      </c>
      <c r="BB32" s="122">
        <f t="shared" si="18"/>
        <v>0</v>
      </c>
      <c r="BC32" s="133">
        <f t="shared" si="19"/>
        <v>0</v>
      </c>
      <c r="BD32" s="123">
        <f t="shared" si="20"/>
        <v>0</v>
      </c>
      <c r="BE32" s="150">
        <f t="shared" si="21"/>
        <v>0</v>
      </c>
      <c r="BF32" s="123">
        <f t="shared" si="22"/>
        <v>0</v>
      </c>
      <c r="BG32" s="122">
        <f t="shared" si="23"/>
        <v>0</v>
      </c>
      <c r="BH32" s="122">
        <f>SUMIFS([2]SP!J:J,[2]SP!A:A,N32,[2]SP!H:H,$P$2)+SUMIFS([2]SP!J:J,[2]SP!A:A,N32,[2]SP!H:H,$T$2)</f>
        <v>0</v>
      </c>
      <c r="BI32" s="122">
        <f>SUMIFS([2]SP!K:K,[2]SP!A:A,N32,[2]SP!H:H,$P$2)+SUMIFS([2]SP!K:K,[2]SP!A:A,N32,[2]SP!H:H,$T$2)</f>
        <v>0</v>
      </c>
      <c r="BJ32" s="154">
        <f t="shared" si="24"/>
        <v>0</v>
      </c>
      <c r="BK32" s="124">
        <f t="shared" si="25"/>
        <v>0</v>
      </c>
      <c r="BL32" s="122">
        <f>SUMIFS([2]SP!R:R,[2]SP!A:A,N32,[2]SP!H:H,$P$2)+SUMIFS([2]SP!R:R,[2]SP!A:A,N32,[2]SP!H:H,$T$2)</f>
        <v>0</v>
      </c>
      <c r="BM32" s="124">
        <f>SUMIFS([2]SP!O:O,[2]SP!A:A,$N32,[2]SP!H:H,$P$2)+SUMIFS([2]SP!O:O,[2]SP!A:A,$N32,[2]SP!H:H,$T$2)</f>
        <v>0</v>
      </c>
      <c r="BN32" s="160">
        <f t="shared" si="26"/>
        <v>0</v>
      </c>
      <c r="BO32" s="122">
        <f>SUMIFS([2]SP!N:N,[2]SP!A:A,N32,[2]SP!H:H,$P$2)+SUMIFS([2]SP!N:N,[2]SP!A:A,N32,[2]SP!H:H,$T$2)</f>
        <v>0</v>
      </c>
      <c r="BP32" s="161">
        <f t="shared" si="27"/>
        <v>0</v>
      </c>
      <c r="BQ32" s="122">
        <f>SUMIFS([2]SD!J:J,[2]SD!A:A,N32,[2]SD!H:H,$P$2)+SUMIFS([2]SD!J:J,[2]SD!A:A,N32,[2]SD!H:H,$T$2)</f>
        <v>0</v>
      </c>
      <c r="BR32" s="122">
        <f>SUMIFS([2]SD!L:L,[2]SD!A:A,N32,[2]SD!H:H,$P$2)+SUMIFS([2]SD!L:L,[2]SD!A:A,N32,[2]SD!H:H,$T$2)</f>
        <v>0</v>
      </c>
      <c r="BS32" s="154">
        <f t="shared" si="28"/>
        <v>0</v>
      </c>
      <c r="BT32" s="124">
        <f t="shared" si="29"/>
        <v>0</v>
      </c>
      <c r="BU32" s="122">
        <f>SUMIFS([2]SD!U:U,[2]SD!A:A,N32,[2]SD!H:H,$P$2)+SUMIFS([2]SD!U:U,[2]SD!A:A,N32,[2]SD!H:H,$T$2)</f>
        <v>0</v>
      </c>
      <c r="BV32" s="124">
        <f>SUMIFS([2]SD!V:V,[2]SD!A:A,N32,[2]SD!H:H,$P$2)+SUMIFS([2]SD!V:V,[2]SD!A:A,N32,[2]SD!H:H,$T$2)</f>
        <v>0</v>
      </c>
      <c r="BW32" s="160">
        <f t="shared" si="30"/>
        <v>0</v>
      </c>
      <c r="BX32" s="124">
        <f>SUMIFS([2]SD!O:O,[2]SD!A:A,N32,[2]SD!H:H,$P$2)+SUMIFS([2]SD!O:O,[2]SD!A:A,N32,[2]SD!H:H,$T$2)</f>
        <v>0</v>
      </c>
      <c r="BY32" s="161">
        <f t="shared" si="31"/>
        <v>0</v>
      </c>
      <c r="BZ32" s="122">
        <f>SUMIFS([2]SB!H:H,[2]SB!B:B,N32,[2]SB!A:A,$P$2)+SUMIFS([2]SB!H:H,[2]SB!B:B,N32,[2]SB!A:A,$T$2)</f>
        <v>0</v>
      </c>
      <c r="CA32" s="122">
        <f>SUMIFS([2]SB!I:I,[2]SB!B:B,N32,[2]SB!A:A,$P$2)+SUMIFS([2]SB!I:I,[2]SB!B:B,N32,[2]SB!A:A,$T$2)</f>
        <v>0</v>
      </c>
      <c r="CB32" s="154">
        <f t="shared" si="32"/>
        <v>0</v>
      </c>
      <c r="CC32" s="124">
        <f t="shared" si="33"/>
        <v>0</v>
      </c>
      <c r="CD32" s="122">
        <f>SUMIFS([2]SB!Q:Q,[2]SB!B:B,N32,[2]SB!A:A,$P$2)+SUMIFS([2]SB!Q:Q,[2]SB!B:B,N32,[2]SB!A:A,$T$2)</f>
        <v>0</v>
      </c>
      <c r="CE32" s="124">
        <f>SUMIFS([2]SB!O:O,[2]SB!B:B,N32,[2]SB!A:A,$P$2)+SUMIFS([2]SB!O:O,[2]SB!B:B,N32,[2]SB!A:A,$T$2)</f>
        <v>0</v>
      </c>
      <c r="CF32" s="160">
        <f t="shared" si="34"/>
        <v>0</v>
      </c>
      <c r="CG32" s="124">
        <f>SUMIFS([2]SB!L:L,[2]SB!B:B,N32,[2]SB!A:A,$P$2)+SUMIFS([2]SB!L:L,[2]SB!B:B,N32,[2]SB!A:A,$T$2)</f>
        <v>0</v>
      </c>
      <c r="CH32" s="161">
        <f t="shared" si="35"/>
        <v>0</v>
      </c>
    </row>
    <row r="33" s="1" customFormat="1" ht="20" customHeight="1" spans="1:86">
      <c r="A33" s="17" t="str" cm="1">
        <f t="array" ref="A33">IFERROR(LOOKUP(1,0/(([2]业务报告!$A:$A=$N33)*([2]业务报告!$B:$B=$P$2)),[2]业务报告!AU:AU),"")</f>
        <v/>
      </c>
      <c r="B33" s="17" t="str" cm="1">
        <f t="array" ref="B33">IFERROR(LOOKUP(1,0/(([2]业务报告!$A:$A=$N33)*([2]业务报告!$B:$B=$P$2)),[2]业务报告!AV:AV),"")</f>
        <v/>
      </c>
      <c r="C33" s="20">
        <f>SUMIFS([2]业务报告!AC:AC,[2]业务报告!$A:$A,$N33,[2]业务报告!$B:$B,$P$2)</f>
        <v>0</v>
      </c>
      <c r="D33" s="21">
        <f>SUMIFS([2]业务报告!AD:AD,[2]业务报告!$A:$A,$N33,[2]业务报告!$B:$B,$P$2)</f>
        <v>0</v>
      </c>
      <c r="E33" s="20" t="str" cm="1">
        <f t="array" ref="E33">_xlfn.XLOOKUP($N33&amp;$P$2,[2]业务报告!$A:$A&amp;[2]业务报告!$B:$B,[2]业务报告!AE:AE,"")</f>
        <v/>
      </c>
      <c r="F33" s="28" cm="1">
        <f t="array" ref="F33">IFERROR(LOOKUP(1,0/(([2]业务报告!$A:$A=$N33)*([2]业务报告!$B:$B=$P$2)),[2]业务报告!AK:AK),0)</f>
        <v>0</v>
      </c>
      <c r="G33" s="29">
        <f>SUMIFS([2]业务报告!AF:AF,[2]业务报告!$A:$A,$N33,[2]业务报告!$B:$B,$P$2)</f>
        <v>0</v>
      </c>
      <c r="H33" s="30" cm="1">
        <f t="array" ref="H33">IFERROR(LOOKUP(1,0/(([2]业务报告!$A:$A=$N33)*([2]业务报告!B:B=$P$2)),[2]业务报告!AG:AG),0)</f>
        <v>0</v>
      </c>
      <c r="I33" s="30" cm="1">
        <f t="array" ref="I33">IFERROR(LOOKUP(1,0/(([2]业务报告!$A:$A=$N33)*([2]业务报告!$B:$B=$P$2)),[2]业务报告!AH:AH),0)</f>
        <v>0</v>
      </c>
      <c r="J33" s="30">
        <f>SUMIFS([2]WT报告!A:A,[2]WT报告!$C:$C,$N33,[2]WT报告!$H:$H,$X$2)</f>
        <v>0</v>
      </c>
      <c r="K33" s="28" cm="1">
        <f t="array" ref="K33">IFERROR(LOOKUP(1,0/(([2]业务报告!$A:$A=$N33)*([2]业务报告!$B:$B=$P$2)),[2]业务报告!AI:AI),0)</f>
        <v>0</v>
      </c>
      <c r="L33" s="28" cm="1">
        <f t="array" ref="L33">IFERROR(LOOKUP(1,0/(([2]业务报告!$A:$A=$N33)*([2]业务报告!$B:$B=$P$2)),[2]业务报告!AJ:AJ),0)</f>
        <v>0</v>
      </c>
      <c r="M33" s="49" t="str">
        <f t="shared" si="0"/>
        <v>周1</v>
      </c>
      <c r="N33" s="50">
        <f>IFERROR(IF(MONTH(DATE($O$1,$O$2,DAY(N32)+1))=$O$2,DATE($O$1,$O$2,DAY(N32)+1),"-"),IFERROR(IF(FIND("-",N32,1)&gt;0,"-",0),"其他"))</f>
        <v>45929</v>
      </c>
      <c r="O33" s="51">
        <f>SUMIFS([2]业务报告!G:G,[2]业务报告!$A:$A,$N33,[2]业务报告!$B:$B,$P$2)+SUMIFS([2]业务报告!G:G,[2]业务报告!$A:$A,$N33,[2]业务报告!$B:$B,$T$2)</f>
        <v>0</v>
      </c>
      <c r="P33" s="51">
        <f>SUMIFS([2]业务报告!H:H,[2]业务报告!$A:$A,$N33,[2]业务报告!$B:$B,$P$2)+SUMIFS([2]业务报告!H:H,[2]业务报告!$A:$A,$N33,[2]业务报告!$B:$B,$T$2)</f>
        <v>0</v>
      </c>
      <c r="Q33" s="51">
        <f>SUMIFS([2]业务报告!I:I,[2]业务报告!$A:$A,$N33,[2]业务报告!$B:$B,$P$2)+SUMIFS([2]业务报告!I:I,[2]业务报告!$A:$A,$N33,[2]业务报告!$B:$B,$T$2)</f>
        <v>0</v>
      </c>
      <c r="R33" s="51">
        <f>SUMIFS([2]业务报告!T:T,[2]业务报告!$A:$A,$N33,[2]业务报告!$B:$B,$P$2)+SUMIFS([2]业务报告!T:T,[2]业务报告!$A:$A,$N33,[2]业务报告!$B:$B,$T$2)</f>
        <v>0</v>
      </c>
      <c r="S33" s="65">
        <f t="shared" si="1"/>
        <v>0</v>
      </c>
      <c r="T33" s="66">
        <f>SUMIFS([2]业务报告!X:X,[2]业务报告!$A:$A,$N33,[2]业务报告!$B:$B,$P$2)+SUMIFS([2]业务报告!X:X,[2]业务报告!$A:$A,$N33,[2]业务报告!$B:$B,$T$2)</f>
        <v>0</v>
      </c>
      <c r="U33" s="28">
        <f>SUMIFS([2]业务报告!AO:AO,[2]业务报告!$A:$A,$N33,[2]业务报告!$B:$B,$P$2)+SUMIFS([2]业务报告!AP:AP,[2]业务报告!$A:$A,$N33,[2]业务报告!$B:$B,$P$2)</f>
        <v>0</v>
      </c>
      <c r="V33" s="73">
        <f>SUMIFS([2]WT报告!I:I,[2]WT报告!$C:$C,$N33,[2]WT报告!$H:$H,$X$2)</f>
        <v>0</v>
      </c>
      <c r="W33" s="66">
        <f>SUMIFS([2]WT报告!Z:Z,[2]WT报告!$C:$C,$N33,[2]WT报告!$H:$H,$X$2)</f>
        <v>0</v>
      </c>
      <c r="X33" s="73">
        <f>SUMIFS([2]业务报告!AS:AS,[2]业务报告!$A:$A,$N33,[2]业务报告!$B:$B,$P$2)+SUMIFS([2]业务报告!AS:AS,[2]业务报告!$A:$A,$N33,[2]业务报告!$B:$B,$T$2)+V33</f>
        <v>0</v>
      </c>
      <c r="Y33" s="85">
        <f>SUMIFS([2]业务报告!AO:AO,[2]业务报告!$A:$A,$N33,[2]业务报告!$B:$B,$P$2)*SUMIFS([2]业务报告!AM:AM,[2]业务报告!$A:$A,$N33,[2]业务报告!$B:$B,$P$2)/$AC$2+SUMIFS([2]业务报告!AP:AP,[2]业务报告!$A:$A,$N33,[2]业务报告!$B:$B,$P$2)*SUMIFS([2]业务报告!AN:AN,[2]业务报告!$A:$A,$N33,[2]业务报告!$B:$B,$P$2)/$AC$2</f>
        <v>0</v>
      </c>
      <c r="Z33" s="86">
        <f>(I33*(1-$AD$2-4%-10%)-$AD$1-$AC$1/$AC$2)*BB33-BC33</f>
        <v>0</v>
      </c>
      <c r="AA33" s="87">
        <f>(I33*(1-$AD$2-4%-10%)-$AD$1-$AC$1/$AC$2)*(R33-IF(R33&gt;V33,SUMIFS([2]业务报告!AO:AO,[2]业务报告!$A:$A,$N33,[2]业务报告!$B:$B,$P$2),0))-BC33</f>
        <v>0</v>
      </c>
      <c r="AB33" s="88">
        <f t="shared" si="2"/>
        <v>0</v>
      </c>
      <c r="AC33" s="86">
        <f>AR33*(J33-$AC$1/$AC$2-J33*4%)-AS33</f>
        <v>0</v>
      </c>
      <c r="AD33" s="87">
        <f>(V33-IF(R33&lt;V33,SUMIFS([2]业务报告!AO:AO,[2]业务报告!$A:$A,$N33,[2]业务报告!$B:$B,$P$2),0))*(J33-$AC$1/$AC$2-J33*4%)-AS33</f>
        <v>0</v>
      </c>
      <c r="AE33" s="87" cm="1">
        <f t="array" ref="AE33">IFERROR(LOOKUP(1,0/(([2]业务报告!$A:$A=$N33)*([2]业务报告!$B:$B=$P$2)),[2]业务报告!AQ:AQ),0)*$AH$2</f>
        <v>0</v>
      </c>
      <c r="AF33" s="87" cm="1">
        <f t="array" ref="AF33">IFERROR(LOOKUP(1,0/(([2]业务报告!$A:$A=$N33)*([2]业务报告!$B:$B=$P$2)),[2]业务报告!AR:AR),0)*$AG$2</f>
        <v>0</v>
      </c>
      <c r="AG33" s="87">
        <f t="shared" si="3"/>
        <v>0</v>
      </c>
      <c r="AH33" s="88">
        <f t="shared" si="4"/>
        <v>0</v>
      </c>
      <c r="AI33" s="116">
        <f t="shared" si="5"/>
        <v>0</v>
      </c>
      <c r="AJ33" s="117">
        <f t="shared" si="6"/>
        <v>0</v>
      </c>
      <c r="AK33" s="122">
        <f t="shared" si="7"/>
        <v>0</v>
      </c>
      <c r="AL33" s="116">
        <f>SUMIFS([2]WT报告!S:S,[2]WT报告!$C:$C,$N33,[2]WT报告!$H:$H,$X$2)</f>
        <v>0</v>
      </c>
      <c r="AM33" s="123">
        <f t="shared" si="8"/>
        <v>0</v>
      </c>
      <c r="AN33" s="124">
        <f>SUMIFS([2]WT报告!N:N,[2]WT报告!$C:$C,$N33,[2]WT报告!$H:$H,$X$2)</f>
        <v>0</v>
      </c>
      <c r="AO33" s="117">
        <f t="shared" si="9"/>
        <v>0</v>
      </c>
      <c r="AP33" s="87">
        <f>SUMIFS([2]WT报告!P:P,[2]WT报告!$C:$C,$N33,[2]WT报告!$H:$H,$X$2)</f>
        <v>0</v>
      </c>
      <c r="AQ33" s="129">
        <f>SUMIFS([2]WT报告!Q:Q,[2]WT报告!$C:$C,$N33,[2]WT报告!$H:$H,$X$2)</f>
        <v>0</v>
      </c>
      <c r="AR33" s="87">
        <f>SUMIFS([2]WT报告!J:J,[2]WT报告!$C:$C,$N33,[2]WT报告!$H:$H,$X$2)</f>
        <v>0</v>
      </c>
      <c r="AS33" s="133">
        <f>SUMIFS([2]WT报告!M:M,[2]WT报告!$C:$C,$N33,[2]WT报告!$H:$H,$X$2)</f>
        <v>0</v>
      </c>
      <c r="AT33" s="134">
        <f t="shared" si="10"/>
        <v>0</v>
      </c>
      <c r="AU33" s="122">
        <f t="shared" si="11"/>
        <v>0</v>
      </c>
      <c r="AV33" s="133">
        <f t="shared" si="12"/>
        <v>0</v>
      </c>
      <c r="AW33" s="123">
        <f t="shared" si="13"/>
        <v>0</v>
      </c>
      <c r="AX33" s="124">
        <f t="shared" si="14"/>
        <v>0</v>
      </c>
      <c r="AY33" s="117">
        <f t="shared" si="15"/>
        <v>0</v>
      </c>
      <c r="AZ33" s="122">
        <f t="shared" si="16"/>
        <v>0</v>
      </c>
      <c r="BA33" s="142">
        <f t="shared" si="17"/>
        <v>0</v>
      </c>
      <c r="BB33" s="122">
        <f t="shared" si="18"/>
        <v>0</v>
      </c>
      <c r="BC33" s="133">
        <f t="shared" si="19"/>
        <v>0</v>
      </c>
      <c r="BD33" s="123">
        <f t="shared" si="20"/>
        <v>0</v>
      </c>
      <c r="BE33" s="150">
        <f t="shared" si="21"/>
        <v>0</v>
      </c>
      <c r="BF33" s="123">
        <f t="shared" si="22"/>
        <v>0</v>
      </c>
      <c r="BG33" s="122">
        <f t="shared" si="23"/>
        <v>0</v>
      </c>
      <c r="BH33" s="122">
        <f>SUMIFS([2]SP!J:J,[2]SP!A:A,N33,[2]SP!H:H,$P$2)+SUMIFS([2]SP!J:J,[2]SP!A:A,N33,[2]SP!H:H,$T$2)</f>
        <v>0</v>
      </c>
      <c r="BI33" s="122">
        <f>SUMIFS([2]SP!K:K,[2]SP!A:A,N33,[2]SP!H:H,$P$2)+SUMIFS([2]SP!K:K,[2]SP!A:A,N33,[2]SP!H:H,$T$2)</f>
        <v>0</v>
      </c>
      <c r="BJ33" s="154">
        <f t="shared" si="24"/>
        <v>0</v>
      </c>
      <c r="BK33" s="124">
        <f t="shared" si="25"/>
        <v>0</v>
      </c>
      <c r="BL33" s="122">
        <f>SUMIFS([2]SP!R:R,[2]SP!A:A,N33,[2]SP!H:H,$P$2)+SUMIFS([2]SP!R:R,[2]SP!A:A,N33,[2]SP!H:H,$T$2)</f>
        <v>0</v>
      </c>
      <c r="BM33" s="124">
        <f>SUMIFS([2]SP!O:O,[2]SP!A:A,$N33,[2]SP!H:H,$P$2)+SUMIFS([2]SP!O:O,[2]SP!A:A,$N33,[2]SP!H:H,$T$2)</f>
        <v>0</v>
      </c>
      <c r="BN33" s="160">
        <f t="shared" si="26"/>
        <v>0</v>
      </c>
      <c r="BO33" s="122">
        <f>SUMIFS([2]SP!N:N,[2]SP!A:A,N33,[2]SP!H:H,$P$2)+SUMIFS([2]SP!N:N,[2]SP!A:A,N33,[2]SP!H:H,$T$2)</f>
        <v>0</v>
      </c>
      <c r="BP33" s="161">
        <f t="shared" si="27"/>
        <v>0</v>
      </c>
      <c r="BQ33" s="122">
        <f>SUMIFS([2]SD!J:J,[2]SD!A:A,N33,[2]SD!H:H,$P$2)+SUMIFS([2]SD!J:J,[2]SD!A:A,N33,[2]SD!H:H,$T$2)</f>
        <v>0</v>
      </c>
      <c r="BR33" s="122">
        <f>SUMIFS([2]SD!L:L,[2]SD!A:A,N33,[2]SD!H:H,$P$2)+SUMIFS([2]SD!L:L,[2]SD!A:A,N33,[2]SD!H:H,$T$2)</f>
        <v>0</v>
      </c>
      <c r="BS33" s="154">
        <f t="shared" si="28"/>
        <v>0</v>
      </c>
      <c r="BT33" s="124">
        <f t="shared" si="29"/>
        <v>0</v>
      </c>
      <c r="BU33" s="122">
        <f>SUMIFS([2]SD!U:U,[2]SD!A:A,N33,[2]SD!H:H,$P$2)+SUMIFS([2]SD!U:U,[2]SD!A:A,N33,[2]SD!H:H,$T$2)</f>
        <v>0</v>
      </c>
      <c r="BV33" s="124">
        <f>SUMIFS([2]SD!V:V,[2]SD!A:A,N33,[2]SD!H:H,$P$2)+SUMIFS([2]SD!V:V,[2]SD!A:A,N33,[2]SD!H:H,$T$2)</f>
        <v>0</v>
      </c>
      <c r="BW33" s="160">
        <f t="shared" si="30"/>
        <v>0</v>
      </c>
      <c r="BX33" s="124">
        <f>SUMIFS([2]SD!O:O,[2]SD!A:A,N33,[2]SD!H:H,$P$2)+SUMIFS([2]SD!O:O,[2]SD!A:A,N33,[2]SD!H:H,$T$2)</f>
        <v>0</v>
      </c>
      <c r="BY33" s="161">
        <f t="shared" si="31"/>
        <v>0</v>
      </c>
      <c r="BZ33" s="122">
        <f>SUMIFS([2]SB!H:H,[2]SB!B:B,N33,[2]SB!A:A,$P$2)+SUMIFS([2]SB!H:H,[2]SB!B:B,N33,[2]SB!A:A,$T$2)</f>
        <v>0</v>
      </c>
      <c r="CA33" s="122">
        <f>SUMIFS([2]SB!I:I,[2]SB!B:B,N33,[2]SB!A:A,$P$2)+SUMIFS([2]SB!I:I,[2]SB!B:B,N33,[2]SB!A:A,$T$2)</f>
        <v>0</v>
      </c>
      <c r="CB33" s="154">
        <f t="shared" si="32"/>
        <v>0</v>
      </c>
      <c r="CC33" s="124">
        <f t="shared" si="33"/>
        <v>0</v>
      </c>
      <c r="CD33" s="122">
        <f>SUMIFS([2]SB!Q:Q,[2]SB!B:B,N33,[2]SB!A:A,$P$2)+SUMIFS([2]SB!Q:Q,[2]SB!B:B,N33,[2]SB!A:A,$T$2)</f>
        <v>0</v>
      </c>
      <c r="CE33" s="124">
        <f>SUMIFS([2]SB!O:O,[2]SB!B:B,N33,[2]SB!A:A,$P$2)+SUMIFS([2]SB!O:O,[2]SB!B:B,N33,[2]SB!A:A,$T$2)</f>
        <v>0</v>
      </c>
      <c r="CF33" s="160">
        <f t="shared" si="34"/>
        <v>0</v>
      </c>
      <c r="CG33" s="124">
        <f>SUMIFS([2]SB!L:L,[2]SB!B:B,N33,[2]SB!A:A,$P$2)+SUMIFS([2]SB!L:L,[2]SB!B:B,N33,[2]SB!A:A,$T$2)</f>
        <v>0</v>
      </c>
      <c r="CH33" s="161">
        <f t="shared" si="35"/>
        <v>0</v>
      </c>
    </row>
    <row r="34" s="1" customFormat="1" ht="20" customHeight="1" spans="1:86">
      <c r="A34" s="17" t="str" cm="1">
        <f t="array" ref="A34">IFERROR(LOOKUP(1,0/(([2]业务报告!$A:$A=$N34)*([2]业务报告!$B:$B=$P$2)),[2]业务报告!AU:AU),"")</f>
        <v/>
      </c>
      <c r="B34" s="17" t="str" cm="1">
        <f t="array" ref="B34">IFERROR(LOOKUP(1,0/(([2]业务报告!$A:$A=$N34)*([2]业务报告!$B:$B=$P$2)),[2]业务报告!AV:AV),"")</f>
        <v/>
      </c>
      <c r="C34" s="20">
        <f>SUMIFS([2]业务报告!AC:AC,[2]业务报告!$A:$A,$N34,[2]业务报告!$B:$B,$P$2)</f>
        <v>0</v>
      </c>
      <c r="D34" s="21">
        <f>SUMIFS([2]业务报告!AD:AD,[2]业务报告!$A:$A,$N34,[2]业务报告!$B:$B,$P$2)</f>
        <v>0</v>
      </c>
      <c r="E34" s="20" t="str" cm="1">
        <f t="array" ref="E34">_xlfn.XLOOKUP($N34&amp;$P$2,[2]业务报告!$A:$A&amp;[2]业务报告!$B:$B,[2]业务报告!AE:AE,"")</f>
        <v/>
      </c>
      <c r="F34" s="28" cm="1">
        <f t="array" ref="F34">IFERROR(LOOKUP(1,0/(([2]业务报告!$A:$A=$N34)*([2]业务报告!$B:$B=$P$2)),[2]业务报告!AK:AK),0)</f>
        <v>0</v>
      </c>
      <c r="G34" s="29">
        <f>SUMIFS([2]业务报告!AF:AF,[2]业务报告!$A:$A,$N34,[2]业务报告!$B:$B,$P$2)</f>
        <v>0</v>
      </c>
      <c r="H34" s="30" cm="1">
        <f t="array" ref="H34">IFERROR(LOOKUP(1,0/(([2]业务报告!$A:$A=$N34)*([2]业务报告!B:B=$P$2)),[2]业务报告!AG:AG),0)</f>
        <v>0</v>
      </c>
      <c r="I34" s="30" cm="1">
        <f t="array" ref="I34">IFERROR(LOOKUP(1,0/(([2]业务报告!$A:$A=$N34)*([2]业务报告!$B:$B=$P$2)),[2]业务报告!AH:AH),0)</f>
        <v>0</v>
      </c>
      <c r="J34" s="30">
        <f>SUMIFS([2]WT报告!A:A,[2]WT报告!$C:$C,$N34,[2]WT报告!$H:$H,$X$2)</f>
        <v>0</v>
      </c>
      <c r="K34" s="28" cm="1">
        <f t="array" ref="K34">IFERROR(LOOKUP(1,0/(([2]业务报告!$A:$A=$N34)*([2]业务报告!$B:$B=$P$2)),[2]业务报告!AI:AI),0)</f>
        <v>0</v>
      </c>
      <c r="L34" s="28" cm="1">
        <f t="array" ref="L34">IFERROR(LOOKUP(1,0/(([2]业务报告!$A:$A=$N34)*([2]业务报告!$B:$B=$P$2)),[2]业务报告!AJ:AJ),0)</f>
        <v>0</v>
      </c>
      <c r="M34" s="49" t="str">
        <f t="shared" si="0"/>
        <v>周2</v>
      </c>
      <c r="N34" s="50">
        <f>IFERROR(IF(MONTH(DATE($O$1,$O$2,DAY(N33)+1))=$O$2,DATE($O$1,$O$2,DAY(N33)+1),"-"),IFERROR(IF(FIND("-",N33,1)&gt;0,"-",0),"其他"))</f>
        <v>45930</v>
      </c>
      <c r="O34" s="51">
        <f>SUMIFS([2]业务报告!G:G,[2]业务报告!$A:$A,$N34,[2]业务报告!$B:$B,$P$2)+SUMIFS([2]业务报告!G:G,[2]业务报告!$A:$A,$N34,[2]业务报告!$B:$B,$T$2)</f>
        <v>0</v>
      </c>
      <c r="P34" s="51">
        <f>SUMIFS([2]业务报告!H:H,[2]业务报告!$A:$A,$N34,[2]业务报告!$B:$B,$P$2)+SUMIFS([2]业务报告!H:H,[2]业务报告!$A:$A,$N34,[2]业务报告!$B:$B,$T$2)</f>
        <v>0</v>
      </c>
      <c r="Q34" s="51">
        <f>SUMIFS([2]业务报告!I:I,[2]业务报告!$A:$A,$N34,[2]业务报告!$B:$B,$P$2)+SUMIFS([2]业务报告!I:I,[2]业务报告!$A:$A,$N34,[2]业务报告!$B:$B,$T$2)</f>
        <v>0</v>
      </c>
      <c r="R34" s="51">
        <f>SUMIFS([2]业务报告!T:T,[2]业务报告!$A:$A,$N34,[2]业务报告!$B:$B,$P$2)+SUMIFS([2]业务报告!T:T,[2]业务报告!$A:$A,$N34,[2]业务报告!$B:$B,$T$2)</f>
        <v>0</v>
      </c>
      <c r="S34" s="65">
        <f t="shared" si="1"/>
        <v>0</v>
      </c>
      <c r="T34" s="66">
        <f>SUMIFS([2]业务报告!X:X,[2]业务报告!$A:$A,$N34,[2]业务报告!$B:$B,$P$2)+SUMIFS([2]业务报告!X:X,[2]业务报告!$A:$A,$N34,[2]业务报告!$B:$B,$T$2)</f>
        <v>0</v>
      </c>
      <c r="U34" s="28">
        <f>SUMIFS([2]业务报告!AO:AO,[2]业务报告!$A:$A,$N34,[2]业务报告!$B:$B,$P$2)+SUMIFS([2]业务报告!AP:AP,[2]业务报告!$A:$A,$N34,[2]业务报告!$B:$B,$P$2)</f>
        <v>0</v>
      </c>
      <c r="V34" s="73">
        <f>SUMIFS([2]WT报告!I:I,[2]WT报告!$C:$C,$N34,[2]WT报告!$H:$H,$X$2)</f>
        <v>0</v>
      </c>
      <c r="W34" s="66">
        <f>SUMIFS([2]WT报告!Z:Z,[2]WT报告!$C:$C,$N34,[2]WT报告!$H:$H,$X$2)</f>
        <v>0</v>
      </c>
      <c r="X34" s="73">
        <f>SUMIFS([2]业务报告!AS:AS,[2]业务报告!$A:$A,$N34,[2]业务报告!$B:$B,$P$2)+SUMIFS([2]业务报告!AS:AS,[2]业务报告!$A:$A,$N34,[2]业务报告!$B:$B,$T$2)+V34</f>
        <v>0</v>
      </c>
      <c r="Y34" s="85">
        <f>SUMIFS([2]业务报告!AO:AO,[2]业务报告!$A:$A,$N34,[2]业务报告!$B:$B,$P$2)*SUMIFS([2]业务报告!AM:AM,[2]业务报告!$A:$A,$N34,[2]业务报告!$B:$B,$P$2)/$AC$2+SUMIFS([2]业务报告!AP:AP,[2]业务报告!$A:$A,$N34,[2]业务报告!$B:$B,$P$2)*SUMIFS([2]业务报告!AN:AN,[2]业务报告!$A:$A,$N34,[2]业务报告!$B:$B,$P$2)/$AC$2</f>
        <v>0</v>
      </c>
      <c r="Z34" s="86">
        <f>(I34*(1-$AD$2-4%-10%)-$AD$1-$AC$1/$AC$2)*BB34-BC34</f>
        <v>0</v>
      </c>
      <c r="AA34" s="87">
        <f>(I34*(1-$AD$2-4%-10%)-$AD$1-$AC$1/$AC$2)*(R34-IF(R34&gt;V34,SUMIFS([2]业务报告!AO:AO,[2]业务报告!$A:$A,$N34,[2]业务报告!$B:$B,$P$2),0))-BC34</f>
        <v>0</v>
      </c>
      <c r="AB34" s="88">
        <f t="shared" si="2"/>
        <v>0</v>
      </c>
      <c r="AC34" s="86">
        <f>AR34*(J34-$AC$1/$AC$2-J34*4%)-AS34</f>
        <v>0</v>
      </c>
      <c r="AD34" s="87">
        <f>(V34-IF(R34&lt;V34,SUMIFS([2]业务报告!AO:AO,[2]业务报告!$A:$A,$N34,[2]业务报告!$B:$B,$P$2),0))*(J34-$AC$1/$AC$2-J34*4%)-AS34</f>
        <v>0</v>
      </c>
      <c r="AE34" s="87" cm="1">
        <f t="array" ref="AE34">IFERROR(LOOKUP(1,0/(([2]业务报告!$A:$A=$N34)*([2]业务报告!$B:$B=$P$2)),[2]业务报告!AQ:AQ),0)*$AH$2</f>
        <v>0</v>
      </c>
      <c r="AF34" s="87" cm="1">
        <f t="array" ref="AF34">IFERROR(LOOKUP(1,0/(([2]业务报告!$A:$A=$N34)*([2]业务报告!$B:$B=$P$2)),[2]业务报告!AR:AR),0)*$AG$2</f>
        <v>0</v>
      </c>
      <c r="AG34" s="87">
        <f t="shared" si="3"/>
        <v>0</v>
      </c>
      <c r="AH34" s="118">
        <f t="shared" si="4"/>
        <v>0</v>
      </c>
      <c r="AI34" s="116">
        <f t="shared" si="5"/>
        <v>0</v>
      </c>
      <c r="AJ34" s="117">
        <f t="shared" si="6"/>
        <v>0</v>
      </c>
      <c r="AK34" s="122">
        <f t="shared" si="7"/>
        <v>0</v>
      </c>
      <c r="AL34" s="116">
        <f>SUMIFS([2]WT报告!S:S,[2]WT报告!$C:$C,$N34,[2]WT报告!$H:$H,$X$2)</f>
        <v>0</v>
      </c>
      <c r="AM34" s="123">
        <f t="shared" si="8"/>
        <v>0</v>
      </c>
      <c r="AN34" s="124">
        <f>SUMIFS([2]WT报告!N:N,[2]WT报告!$C:$C,$N34,[2]WT报告!$H:$H,$X$2)</f>
        <v>0</v>
      </c>
      <c r="AO34" s="117">
        <f t="shared" si="9"/>
        <v>0</v>
      </c>
      <c r="AP34" s="87">
        <f>SUMIFS([2]WT报告!P:P,[2]WT报告!$C:$C,$N34,[2]WT报告!$H:$H,$X$2)</f>
        <v>0</v>
      </c>
      <c r="AQ34" s="129">
        <f>SUMIFS([2]WT报告!Q:Q,[2]WT报告!$C:$C,$N34,[2]WT报告!$H:$H,$X$2)</f>
        <v>0</v>
      </c>
      <c r="AR34" s="87">
        <f>SUMIFS([2]WT报告!J:J,[2]WT报告!$C:$C,$N34,[2]WT报告!$H:$H,$X$2)</f>
        <v>0</v>
      </c>
      <c r="AS34" s="133">
        <f>SUMIFS([2]WT报告!M:M,[2]WT报告!$C:$C,$N34,[2]WT报告!$H:$H,$X$2)</f>
        <v>0</v>
      </c>
      <c r="AT34" s="134">
        <f t="shared" si="10"/>
        <v>0</v>
      </c>
      <c r="AU34" s="122">
        <f t="shared" si="11"/>
        <v>0</v>
      </c>
      <c r="AV34" s="133">
        <f t="shared" si="12"/>
        <v>0</v>
      </c>
      <c r="AW34" s="123">
        <f t="shared" si="13"/>
        <v>0</v>
      </c>
      <c r="AX34" s="124">
        <f t="shared" si="14"/>
        <v>0</v>
      </c>
      <c r="AY34" s="117">
        <f t="shared" si="15"/>
        <v>0</v>
      </c>
      <c r="AZ34" s="122">
        <f t="shared" si="16"/>
        <v>0</v>
      </c>
      <c r="BA34" s="142">
        <f t="shared" si="17"/>
        <v>0</v>
      </c>
      <c r="BB34" s="122">
        <f t="shared" si="18"/>
        <v>0</v>
      </c>
      <c r="BC34" s="133">
        <f t="shared" si="19"/>
        <v>0</v>
      </c>
      <c r="BD34" s="123">
        <f t="shared" si="20"/>
        <v>0</v>
      </c>
      <c r="BE34" s="150">
        <f t="shared" si="21"/>
        <v>0</v>
      </c>
      <c r="BF34" s="123">
        <f t="shared" si="22"/>
        <v>0</v>
      </c>
      <c r="BG34" s="122">
        <f t="shared" si="23"/>
        <v>0</v>
      </c>
      <c r="BH34" s="122">
        <f>SUMIFS([2]SP!J:J,[2]SP!A:A,N34,[2]SP!H:H,$P$2)+SUMIFS([2]SP!J:J,[2]SP!A:A,N34,[2]SP!H:H,$T$2)</f>
        <v>0</v>
      </c>
      <c r="BI34" s="122">
        <f>SUMIFS([2]SP!K:K,[2]SP!A:A,N34,[2]SP!H:H,$P$2)+SUMIFS([2]SP!K:K,[2]SP!A:A,N34,[2]SP!H:H,$T$2)</f>
        <v>0</v>
      </c>
      <c r="BJ34" s="154">
        <f t="shared" si="24"/>
        <v>0</v>
      </c>
      <c r="BK34" s="124">
        <f t="shared" si="25"/>
        <v>0</v>
      </c>
      <c r="BL34" s="122">
        <f>SUMIFS([2]SP!R:R,[2]SP!A:A,N34,[2]SP!H:H,$P$2)+SUMIFS([2]SP!R:R,[2]SP!A:A,N34,[2]SP!H:H,$T$2)</f>
        <v>0</v>
      </c>
      <c r="BM34" s="124">
        <f>SUMIFS([2]SP!O:O,[2]SP!A:A,$N34,[2]SP!H:H,$P$2)+SUMIFS([2]SP!O:O,[2]SP!A:A,$N34,[2]SP!H:H,$T$2)</f>
        <v>0</v>
      </c>
      <c r="BN34" s="160">
        <f t="shared" si="26"/>
        <v>0</v>
      </c>
      <c r="BO34" s="122">
        <f>SUMIFS([2]SP!N:N,[2]SP!A:A,N34,[2]SP!H:H,$P$2)+SUMIFS([2]SP!N:N,[2]SP!A:A,N34,[2]SP!H:H,$T$2)</f>
        <v>0</v>
      </c>
      <c r="BP34" s="161">
        <f t="shared" si="27"/>
        <v>0</v>
      </c>
      <c r="BQ34" s="122">
        <f>SUMIFS([2]SD!J:J,[2]SD!A:A,N34,[2]SD!H:H,$P$2)+SUMIFS([2]SD!J:J,[2]SD!A:A,N34,[2]SD!H:H,$T$2)</f>
        <v>0</v>
      </c>
      <c r="BR34" s="122">
        <f>SUMIFS([2]SD!L:L,[2]SD!A:A,N34,[2]SD!H:H,$P$2)+SUMIFS([2]SD!L:L,[2]SD!A:A,N34,[2]SD!H:H,$T$2)</f>
        <v>0</v>
      </c>
      <c r="BS34" s="154">
        <f t="shared" si="28"/>
        <v>0</v>
      </c>
      <c r="BT34" s="124">
        <f t="shared" si="29"/>
        <v>0</v>
      </c>
      <c r="BU34" s="122">
        <f>SUMIFS([2]SD!U:U,[2]SD!A:A,N34,[2]SD!H:H,$P$2)+SUMIFS([2]SD!U:U,[2]SD!A:A,N34,[2]SD!H:H,$T$2)</f>
        <v>0</v>
      </c>
      <c r="BV34" s="124">
        <f>SUMIFS([2]SD!V:V,[2]SD!A:A,N34,[2]SD!H:H,$P$2)+SUMIFS([2]SD!V:V,[2]SD!A:A,N34,[2]SD!H:H,$T$2)</f>
        <v>0</v>
      </c>
      <c r="BW34" s="160">
        <f t="shared" si="30"/>
        <v>0</v>
      </c>
      <c r="BX34" s="124">
        <f>SUMIFS([2]SD!O:O,[2]SD!A:A,N34,[2]SD!H:H,$P$2)+SUMIFS([2]SD!O:O,[2]SD!A:A,N34,[2]SD!H:H,$T$2)</f>
        <v>0</v>
      </c>
      <c r="BY34" s="161">
        <f t="shared" si="31"/>
        <v>0</v>
      </c>
      <c r="BZ34" s="122">
        <f>SUMIFS([2]SB!H:H,[2]SB!B:B,N34,[2]SB!A:A,$P$2)+SUMIFS([2]SB!H:H,[2]SB!B:B,N34,[2]SB!A:A,$T$2)</f>
        <v>0</v>
      </c>
      <c r="CA34" s="122">
        <f>SUMIFS([2]SB!I:I,[2]SB!B:B,N34,[2]SB!A:A,$P$2)+SUMIFS([2]SB!I:I,[2]SB!B:B,N34,[2]SB!A:A,$T$2)</f>
        <v>0</v>
      </c>
      <c r="CB34" s="154">
        <f t="shared" si="32"/>
        <v>0</v>
      </c>
      <c r="CC34" s="124">
        <f t="shared" si="33"/>
        <v>0</v>
      </c>
      <c r="CD34" s="122">
        <f>SUMIFS([2]SB!Q:Q,[2]SB!B:B,N34,[2]SB!A:A,$P$2)+SUMIFS([2]SB!Q:Q,[2]SB!B:B,N34,[2]SB!A:A,$T$2)</f>
        <v>0</v>
      </c>
      <c r="CE34" s="124">
        <f>SUMIFS([2]SB!O:O,[2]SB!B:B,N34,[2]SB!A:A,$P$2)+SUMIFS([2]SB!O:O,[2]SB!B:B,N34,[2]SB!A:A,$T$2)</f>
        <v>0</v>
      </c>
      <c r="CF34" s="160">
        <f t="shared" si="34"/>
        <v>0</v>
      </c>
      <c r="CG34" s="124">
        <f>SUMIFS([2]SB!L:L,[2]SB!B:B,N34,[2]SB!A:A,$P$2)+SUMIFS([2]SB!L:L,[2]SB!B:B,N34,[2]SB!A:A,$T$2)</f>
        <v>0</v>
      </c>
      <c r="CH34" s="161">
        <f t="shared" si="35"/>
        <v>0</v>
      </c>
    </row>
    <row r="35" s="1" customFormat="1" ht="20" customHeight="1" spans="1:86">
      <c r="A35" s="17" t="str" cm="1">
        <f t="array" ref="A35">IFERROR(LOOKUP(1,0/(([2]业务报告!$A:$A=$N35)*([2]业务报告!$B:$B=$P$2)),[2]业务报告!AU:AU),"")</f>
        <v/>
      </c>
      <c r="B35" s="17" t="str" cm="1">
        <f t="array" ref="B35">IFERROR(LOOKUP(1,0/(([2]业务报告!$A:$A=$N35)*([2]业务报告!$B:$B=$P$2)),[2]业务报告!AV:AV),"")</f>
        <v/>
      </c>
      <c r="C35" s="20">
        <f>SUMIFS([2]业务报告!AC:AC,[2]业务报告!$A:$A,$N35,[2]业务报告!$B:$B,$P$2)</f>
        <v>0</v>
      </c>
      <c r="D35" s="21">
        <f>SUMIFS([2]业务报告!AD:AD,[2]业务报告!$A:$A,$N35,[2]业务报告!$B:$B,$P$2)</f>
        <v>0</v>
      </c>
      <c r="E35" s="20" t="str" cm="1">
        <f t="array" ref="E35">_xlfn.XLOOKUP($N35&amp;$P$2,[2]业务报告!$A:$A&amp;[2]业务报告!$B:$B,[2]业务报告!AE:AE,"")</f>
        <v/>
      </c>
      <c r="F35" s="28" cm="1">
        <f t="array" ref="F35">IFERROR(LOOKUP(1,0/(([2]业务报告!$A:$A=$N35)*([2]业务报告!$B:$B=$P$2)),[2]业务报告!AK:AK),0)</f>
        <v>0</v>
      </c>
      <c r="G35" s="29">
        <f>SUMIFS([2]业务报告!AF:AF,[2]业务报告!$A:$A,$N35,[2]业务报告!$B:$B,$P$2)</f>
        <v>0</v>
      </c>
      <c r="H35" s="30" cm="1">
        <f t="array" ref="H35">IFERROR(LOOKUP(1,0/(([2]业务报告!$A:$A=$N35)*([2]业务报告!B:B=$P$2)),[2]业务报告!AG:AG),0)</f>
        <v>0</v>
      </c>
      <c r="I35" s="30" cm="1">
        <f t="array" ref="I35">IFERROR(LOOKUP(1,0/(([2]业务报告!$A:$A=$N35)*([2]业务报告!$B:$B=$P$2)),[2]业务报告!AH:AH),0)</f>
        <v>0</v>
      </c>
      <c r="J35" s="30">
        <f>SUMIFS([2]WT报告!A:A,[2]WT报告!$C:$C,$N35,[2]WT报告!$H:$H,$X$2)</f>
        <v>0</v>
      </c>
      <c r="K35" s="28" cm="1">
        <f t="array" ref="K35">IFERROR(LOOKUP(1,0/(([2]业务报告!$A:$A=$N35)*([2]业务报告!$B:$B=$P$2)),[2]业务报告!AI:AI),0)</f>
        <v>0</v>
      </c>
      <c r="L35" s="28" cm="1">
        <f t="array" ref="L35">IFERROR(LOOKUP(1,0/(([2]业务报告!$A:$A=$N35)*([2]业务报告!$B:$B=$P$2)),[2]业务报告!AJ:AJ),0)</f>
        <v>0</v>
      </c>
      <c r="M35" s="49" t="str">
        <f t="shared" si="0"/>
        <v>-</v>
      </c>
      <c r="N35" s="53" t="str">
        <f>IFERROR(IF(MONTH(DATE($O$1,$O$2,DAY(N34)+1))=$O$2,DATE($O$1,$O$2,DAY(N34)+1),"-"),IFERROR(IF(FIND("-",N34,1)&gt;0,"-",0),"其他"))</f>
        <v>-</v>
      </c>
      <c r="O35" s="51">
        <f>SUMIFS([2]业务报告!G:G,[2]业务报告!$A:$A,$N35,[2]业务报告!$B:$B,$P$2)+SUMIFS([2]业务报告!G:G,[2]业务报告!$A:$A,$N35,[2]业务报告!$B:$B,$T$2)</f>
        <v>0</v>
      </c>
      <c r="P35" s="51">
        <f>SUMIFS([2]业务报告!H:H,[2]业务报告!$A:$A,$N35,[2]业务报告!$B:$B,$P$2)+SUMIFS([2]业务报告!H:H,[2]业务报告!$A:$A,$N35,[2]业务报告!$B:$B,$T$2)</f>
        <v>0</v>
      </c>
      <c r="Q35" s="51">
        <f>SUMIFS([2]业务报告!I:I,[2]业务报告!$A:$A,$N35,[2]业务报告!$B:$B,$P$2)+SUMIFS([2]业务报告!I:I,[2]业务报告!$A:$A,$N35,[2]业务报告!$B:$B,$T$2)</f>
        <v>0</v>
      </c>
      <c r="R35" s="51">
        <f>SUMIFS([2]业务报告!T:T,[2]业务报告!$A:$A,$N35,[2]业务报告!$B:$B,$P$2)+SUMIFS([2]业务报告!T:T,[2]业务报告!$A:$A,$N35,[2]业务报告!$B:$B,$T$2)</f>
        <v>0</v>
      </c>
      <c r="S35" s="65">
        <f t="shared" si="1"/>
        <v>0</v>
      </c>
      <c r="T35" s="66">
        <f>SUMIFS([2]业务报告!X:X,[2]业务报告!$A:$A,$N35,[2]业务报告!$B:$B,$P$2)+SUMIFS([2]业务报告!X:X,[2]业务报告!$A:$A,$N35,[2]业务报告!$B:$B,$T$2)</f>
        <v>0</v>
      </c>
      <c r="U35" s="28">
        <f>SUMIFS([2]业务报告!AO:AO,[2]业务报告!$A:$A,$N35,[2]业务报告!$B:$B,$P$2)+SUMIFS([2]业务报告!AP:AP,[2]业务报告!$A:$A,$N35,[2]业务报告!$B:$B,$P$2)</f>
        <v>0</v>
      </c>
      <c r="V35" s="73">
        <f>SUMIFS([2]WT报告!I:I,[2]WT报告!$C:$C,$N35,[2]WT报告!$H:$H,$X$2)</f>
        <v>0</v>
      </c>
      <c r="W35" s="66">
        <f>SUMIFS([2]WT报告!Z:Z,[2]WT报告!$C:$C,$N35,[2]WT报告!$H:$H,$X$2)</f>
        <v>0</v>
      </c>
      <c r="X35" s="73">
        <f>SUMIFS([2]业务报告!AS:AS,[2]业务报告!$A:$A,$N35,[2]业务报告!$B:$B,$P$2)+SUMIFS([2]业务报告!AS:AS,[2]业务报告!$A:$A,$N35,[2]业务报告!$B:$B,$T$2)+V35</f>
        <v>0</v>
      </c>
      <c r="Y35" s="89">
        <f>SUMIFS([2]业务报告!AO:AO,[2]业务报告!$A:$A,$N35,[2]业务报告!$B:$B,$P$2)*SUMIFS([2]业务报告!AM:AM,[2]业务报告!$A:$A,$N35,[2]业务报告!$B:$B,$P$2)/$AC$2+SUMIFS([2]业务报告!AP:AP,[2]业务报告!$A:$A,$N35,[2]业务报告!$B:$B,$P$2)*SUMIFS([2]业务报告!AN:AN,[2]业务报告!$A:$A,$N35,[2]业务报告!$B:$B,$P$2)/$AC$2</f>
        <v>0</v>
      </c>
      <c r="Z35" s="90">
        <f>(I35*(1-$AD$2-4%-10%)-$AD$1-$AC$1/$AC$2)*BB35-BC35</f>
        <v>0</v>
      </c>
      <c r="AA35" s="91">
        <f>(I35*(1-$AD$2-4%-10%)-$AD$1-$AC$1/$AC$2)*(R35-IF(R35&gt;V35,SUMIFS([2]业务报告!AO:AO,[2]业务报告!$A:$A,$N35,[2]业务报告!$B:$B,$P$2),0))-BC35</f>
        <v>0</v>
      </c>
      <c r="AB35" s="92">
        <f t="shared" si="2"/>
        <v>0</v>
      </c>
      <c r="AC35" s="105">
        <f>AR35*(J35-$AC$1/$AC$2-J35*4%)-AS35</f>
        <v>0</v>
      </c>
      <c r="AD35" s="91">
        <f>(V35-IF(R35&lt;V35,SUMIFS([2]业务报告!AO:AO,[2]业务报告!$A:$A,$N35,[2]业务报告!$B:$B,$P$2),0))*(J35-$AC$1/$AC$2-J35*4%)-AS35</f>
        <v>0</v>
      </c>
      <c r="AE35" s="106" cm="1">
        <f t="array" ref="AE35">IFERROR(LOOKUP(1,0/(([2]业务报告!$A:$A=$N35)*([2]业务报告!$B:$B=$P$2)),[2]业务报告!AQ:AQ),0)*$AH$2</f>
        <v>0</v>
      </c>
      <c r="AF35" s="106" cm="1">
        <f t="array" ref="AF35">IFERROR(LOOKUP(1,0/(([2]业务报告!$A:$A=$N35)*([2]业务报告!$B:$B=$P$2)),[2]业务报告!AR:AR),0)*$AG$2</f>
        <v>0</v>
      </c>
      <c r="AG35" s="87">
        <f t="shared" si="3"/>
        <v>0</v>
      </c>
      <c r="AH35" s="92">
        <f t="shared" si="4"/>
        <v>0</v>
      </c>
      <c r="AI35" s="119">
        <f t="shared" si="5"/>
        <v>0</v>
      </c>
      <c r="AJ35" s="92">
        <f t="shared" si="6"/>
        <v>0</v>
      </c>
      <c r="AK35" s="125">
        <f t="shared" si="7"/>
        <v>0</v>
      </c>
      <c r="AL35" s="119">
        <f>SUMIFS([2]WT报告!S:S,[2]WT报告!$C:$C,$N35,[2]WT报告!$H:$H,$X$2)</f>
        <v>0</v>
      </c>
      <c r="AM35" s="126">
        <f t="shared" si="8"/>
        <v>0</v>
      </c>
      <c r="AN35" s="127">
        <f>SUMIFS([2]WT报告!N:N,[2]WT报告!$C:$C,$N35,[2]WT报告!$H:$H,$X$2)</f>
        <v>0</v>
      </c>
      <c r="AO35" s="92">
        <f t="shared" si="9"/>
        <v>0</v>
      </c>
      <c r="AP35" s="106">
        <f>SUMIFS([2]WT报告!P:P,[2]WT报告!$C:$C,$N35,[2]WT报告!$H:$H,$X$2)</f>
        <v>0</v>
      </c>
      <c r="AQ35" s="130">
        <f>SUMIFS([2]WT报告!Q:Q,[2]WT报告!$C:$C,$N35,[2]WT报告!$H:$H,$X$2)</f>
        <v>0</v>
      </c>
      <c r="AR35" s="106">
        <f>SUMIFS([2]WT报告!J:J,[2]WT报告!$C:$C,$N35,[2]WT报告!$H:$H,$X$2)</f>
        <v>0</v>
      </c>
      <c r="AS35" s="135">
        <f>SUMIFS([2]WT报告!M:M,[2]WT报告!$C:$C,$N35,[2]WT报告!$H:$H,$X$2)</f>
        <v>0</v>
      </c>
      <c r="AT35" s="134">
        <f t="shared" si="10"/>
        <v>0</v>
      </c>
      <c r="AU35" s="122">
        <f t="shared" si="11"/>
        <v>0</v>
      </c>
      <c r="AV35" s="133">
        <f t="shared" si="12"/>
        <v>0</v>
      </c>
      <c r="AW35" s="123">
        <f t="shared" si="13"/>
        <v>0</v>
      </c>
      <c r="AX35" s="124">
        <f t="shared" si="14"/>
        <v>0</v>
      </c>
      <c r="AY35" s="117">
        <f t="shared" si="15"/>
        <v>0</v>
      </c>
      <c r="AZ35" s="122">
        <f t="shared" si="16"/>
        <v>0</v>
      </c>
      <c r="BA35" s="142">
        <f t="shared" si="17"/>
        <v>0</v>
      </c>
      <c r="BB35" s="122">
        <f t="shared" si="18"/>
        <v>0</v>
      </c>
      <c r="BC35" s="133">
        <f t="shared" si="19"/>
        <v>0</v>
      </c>
      <c r="BD35" s="123">
        <f t="shared" si="20"/>
        <v>0</v>
      </c>
      <c r="BE35" s="150">
        <f t="shared" si="21"/>
        <v>0</v>
      </c>
      <c r="BF35" s="123">
        <f t="shared" si="22"/>
        <v>0</v>
      </c>
      <c r="BG35" s="122">
        <f t="shared" si="23"/>
        <v>0</v>
      </c>
      <c r="BH35" s="122">
        <f>SUMIFS([2]SP!J:J,[2]SP!A:A,N35,[2]SP!H:H,$P$2)+SUMIFS([2]SP!J:J,[2]SP!A:A,N35,[2]SP!H:H,$T$2)</f>
        <v>0</v>
      </c>
      <c r="BI35" s="122">
        <f>SUMIFS([2]SP!K:K,[2]SP!A:A,N35,[2]SP!H:H,$P$2)+SUMIFS([2]SP!K:K,[2]SP!A:A,N35,[2]SP!H:H,$T$2)</f>
        <v>0</v>
      </c>
      <c r="BJ35" s="154">
        <f t="shared" si="24"/>
        <v>0</v>
      </c>
      <c r="BK35" s="124">
        <f t="shared" si="25"/>
        <v>0</v>
      </c>
      <c r="BL35" s="122">
        <f>SUMIFS([2]SP!R:R,[2]SP!A:A,N35,[2]SP!H:H,$P$2)+SUMIFS([2]SP!R:R,[2]SP!A:A,N35,[2]SP!H:H,$T$2)</f>
        <v>0</v>
      </c>
      <c r="BM35" s="124">
        <f>SUMIFS([2]SP!O:O,[2]SP!A:A,$N35,[2]SP!H:H,$P$2)+SUMIFS([2]SP!O:O,[2]SP!A:A,$N35,[2]SP!H:H,$T$2)</f>
        <v>0</v>
      </c>
      <c r="BN35" s="160">
        <f t="shared" si="26"/>
        <v>0</v>
      </c>
      <c r="BO35" s="122">
        <f>SUMIFS([2]SP!N:N,[2]SP!A:A,N35,[2]SP!H:H,$P$2)+SUMIFS([2]SP!N:N,[2]SP!A:A,N35,[2]SP!H:H,$T$2)</f>
        <v>0</v>
      </c>
      <c r="BP35" s="161">
        <f t="shared" si="27"/>
        <v>0</v>
      </c>
      <c r="BQ35" s="122">
        <f>SUMIFS([2]SD!J:J,[2]SD!A:A,N35,[2]SD!H:H,$P$2)+SUMIFS([2]SD!J:J,[2]SD!A:A,N35,[2]SD!H:H,$T$2)</f>
        <v>0</v>
      </c>
      <c r="BR35" s="122">
        <f>SUMIFS([2]SD!L:L,[2]SD!A:A,N35,[2]SD!H:H,$P$2)+SUMIFS([2]SD!L:L,[2]SD!A:A,N35,[2]SD!H:H,$T$2)</f>
        <v>0</v>
      </c>
      <c r="BS35" s="154">
        <f t="shared" si="28"/>
        <v>0</v>
      </c>
      <c r="BT35" s="124">
        <f t="shared" si="29"/>
        <v>0</v>
      </c>
      <c r="BU35" s="122">
        <f>SUMIFS([2]SD!U:U,[2]SD!A:A,N35,[2]SD!H:H,$P$2)+SUMIFS([2]SD!U:U,[2]SD!A:A,N35,[2]SD!H:H,$T$2)</f>
        <v>0</v>
      </c>
      <c r="BV35" s="124">
        <f>SUMIFS([2]SD!V:V,[2]SD!A:A,N35,[2]SD!H:H,$P$2)+SUMIFS([2]SD!V:V,[2]SD!A:A,N35,[2]SD!H:H,$T$2)</f>
        <v>0</v>
      </c>
      <c r="BW35" s="160">
        <f t="shared" si="30"/>
        <v>0</v>
      </c>
      <c r="BX35" s="124">
        <f>SUMIFS([2]SD!O:O,[2]SD!A:A,N35,[2]SD!H:H,$P$2)+SUMIFS([2]SD!O:O,[2]SD!A:A,N35,[2]SD!H:H,$T$2)</f>
        <v>0</v>
      </c>
      <c r="BY35" s="161">
        <f t="shared" si="31"/>
        <v>0</v>
      </c>
      <c r="BZ35" s="122">
        <f>SUMIFS([2]SB!H:H,[2]SB!B:B,N35,[2]SB!A:A,$P$2)+SUMIFS([2]SB!H:H,[2]SB!B:B,N35,[2]SB!A:A,$T$2)</f>
        <v>0</v>
      </c>
      <c r="CA35" s="122">
        <f>SUMIFS([2]SB!I:I,[2]SB!B:B,N35,[2]SB!A:A,$P$2)+SUMIFS([2]SB!I:I,[2]SB!B:B,N35,[2]SB!A:A,$T$2)</f>
        <v>0</v>
      </c>
      <c r="CB35" s="154">
        <f t="shared" si="32"/>
        <v>0</v>
      </c>
      <c r="CC35" s="124">
        <f t="shared" si="33"/>
        <v>0</v>
      </c>
      <c r="CD35" s="122">
        <f>SUMIFS([2]SB!Q:Q,[2]SB!B:B,N35,[2]SB!A:A,$P$2)+SUMIFS([2]SB!Q:Q,[2]SB!B:B,N35,[2]SB!A:A,$T$2)</f>
        <v>0</v>
      </c>
      <c r="CE35" s="124">
        <f>SUMIFS([2]SB!O:O,[2]SB!B:B,N35,[2]SB!A:A,$P$2)+SUMIFS([2]SB!O:O,[2]SB!B:B,N35,[2]SB!A:A,$T$2)</f>
        <v>0</v>
      </c>
      <c r="CF35" s="160">
        <f t="shared" si="34"/>
        <v>0</v>
      </c>
      <c r="CG35" s="124">
        <f>SUMIFS([2]SB!L:L,[2]SB!B:B,N35,[2]SB!A:A,$P$2)+SUMIFS([2]SB!L:L,[2]SB!B:B,N35,[2]SB!A:A,$T$2)</f>
        <v>0</v>
      </c>
      <c r="CH35" s="161">
        <f t="shared" si="35"/>
        <v>0</v>
      </c>
    </row>
    <row r="36" s="3" customFormat="1" ht="20" customHeight="1" spans="1:86">
      <c r="A36" s="22" t="s">
        <v>615</v>
      </c>
      <c r="B36" s="22" t="s">
        <v>615</v>
      </c>
      <c r="C36" s="23" t="s">
        <v>615</v>
      </c>
      <c r="D36" s="23" t="s">
        <v>615</v>
      </c>
      <c r="E36" s="23"/>
      <c r="F36" s="23"/>
      <c r="G36" s="23">
        <v>109.99</v>
      </c>
      <c r="H36" s="23" t="s">
        <v>615</v>
      </c>
      <c r="I36" s="23"/>
      <c r="J36" s="23">
        <v>38.5</v>
      </c>
      <c r="K36" s="23" t="s">
        <v>615</v>
      </c>
      <c r="L36" s="35">
        <f t="shared" ref="L36:R36" si="36">SUM(L5:L35)</f>
        <v>0</v>
      </c>
      <c r="M36" s="54" t="str">
        <f t="shared" si="0"/>
        <v>-</v>
      </c>
      <c r="N36" s="55" t="str">
        <f>O2&amp;"月份 汇总"</f>
        <v>9月份 汇总</v>
      </c>
      <c r="O36" s="56">
        <f t="shared" si="36"/>
        <v>0</v>
      </c>
      <c r="P36" s="56">
        <f t="shared" si="36"/>
        <v>0</v>
      </c>
      <c r="Q36" s="56">
        <f t="shared" si="36"/>
        <v>0</v>
      </c>
      <c r="R36" s="56">
        <f t="shared" si="36"/>
        <v>0</v>
      </c>
      <c r="S36" s="67">
        <f>IFERROR(R36/O36,0)</f>
        <v>0</v>
      </c>
      <c r="T36" s="68">
        <f t="shared" ref="T36:AA36" si="37">SUM(T5:T35)</f>
        <v>0</v>
      </c>
      <c r="U36" s="35">
        <f t="shared" si="37"/>
        <v>0</v>
      </c>
      <c r="V36" s="74">
        <f t="shared" si="37"/>
        <v>0</v>
      </c>
      <c r="W36" s="75">
        <f t="shared" si="37"/>
        <v>0</v>
      </c>
      <c r="X36" s="76">
        <f t="shared" si="37"/>
        <v>0</v>
      </c>
      <c r="Y36" s="93">
        <f t="shared" si="37"/>
        <v>0</v>
      </c>
      <c r="Z36" s="94">
        <f t="shared" si="37"/>
        <v>0</v>
      </c>
      <c r="AA36" s="94">
        <f t="shared" si="37"/>
        <v>0</v>
      </c>
      <c r="AB36" s="95" t="s">
        <v>616</v>
      </c>
      <c r="AC36" s="75">
        <f t="shared" ref="AC36:AG36" si="38">SUM(AC5:AC35)</f>
        <v>0</v>
      </c>
      <c r="AD36" s="94">
        <f t="shared" si="38"/>
        <v>0</v>
      </c>
      <c r="AE36" s="75"/>
      <c r="AF36" s="75">
        <f t="shared" si="38"/>
        <v>0</v>
      </c>
      <c r="AG36" s="94">
        <f t="shared" si="38"/>
        <v>0</v>
      </c>
      <c r="AH36" s="95">
        <f t="shared" si="4"/>
        <v>0</v>
      </c>
      <c r="AI36" s="74">
        <f>IFERROR((AG36)/(R36+V36),0)</f>
        <v>0</v>
      </c>
      <c r="AJ36" s="120">
        <f>IFERROR((BB36+BL36)/I36,0)</f>
        <v>0</v>
      </c>
      <c r="AK36" s="56">
        <f>IFERROR(ROUNDUP(AS36/G36,1),0)</f>
        <v>0</v>
      </c>
      <c r="AL36" s="74">
        <f>SUM(AL5:AL35)</f>
        <v>0</v>
      </c>
      <c r="AM36" s="95">
        <f t="shared" si="8"/>
        <v>0</v>
      </c>
      <c r="AN36" s="128">
        <f>IFERROR(AT36/AP36,0)</f>
        <v>0</v>
      </c>
      <c r="AO36" s="95">
        <f t="shared" si="9"/>
        <v>0</v>
      </c>
      <c r="AP36" s="74">
        <f t="shared" ref="AP36:AS36" si="39">SUM(AP5:AP35)</f>
        <v>0</v>
      </c>
      <c r="AQ36" s="95" t="s">
        <v>615</v>
      </c>
      <c r="AR36" s="74">
        <f t="shared" si="39"/>
        <v>0</v>
      </c>
      <c r="AS36" s="68">
        <f t="shared" si="39"/>
        <v>0</v>
      </c>
      <c r="AT36" s="136">
        <f>IFERROR((BO36+BX36)/T36,0)</f>
        <v>0</v>
      </c>
      <c r="AU36" s="35">
        <f t="shared" si="11"/>
        <v>0</v>
      </c>
      <c r="AV36" s="137"/>
      <c r="AW36" s="136">
        <f t="shared" si="13"/>
        <v>0</v>
      </c>
      <c r="AX36" s="138">
        <f t="shared" si="14"/>
        <v>0</v>
      </c>
      <c r="AY36" s="136">
        <f>IFERROR((BL36+BU36+CD36)/R36,0)</f>
        <v>0</v>
      </c>
      <c r="AZ36" s="35">
        <f t="shared" ref="AZ36:BC36" si="40">SUM(AZ5:AZ35)</f>
        <v>0</v>
      </c>
      <c r="BA36" s="143">
        <f t="shared" si="17"/>
        <v>0</v>
      </c>
      <c r="BB36" s="35">
        <f t="shared" si="40"/>
        <v>0</v>
      </c>
      <c r="BC36" s="137">
        <f t="shared" si="40"/>
        <v>0</v>
      </c>
      <c r="BD36" s="136">
        <f t="shared" si="20"/>
        <v>0</v>
      </c>
      <c r="BE36" s="35"/>
      <c r="BF36" s="136">
        <f t="shared" si="22"/>
        <v>0</v>
      </c>
      <c r="BG36" s="35">
        <f t="shared" ref="BG36:BI36" si="41">SUM(BG5:BG35)</f>
        <v>0</v>
      </c>
      <c r="BH36" s="151">
        <f t="shared" si="41"/>
        <v>0</v>
      </c>
      <c r="BI36" s="35">
        <f t="shared" si="41"/>
        <v>0</v>
      </c>
      <c r="BJ36" s="143">
        <f t="shared" si="24"/>
        <v>0</v>
      </c>
      <c r="BK36" s="155">
        <f t="shared" si="25"/>
        <v>0</v>
      </c>
      <c r="BL36" s="35">
        <f t="shared" ref="BL36:BO36" si="42">SUM(BL5:BL35)</f>
        <v>0</v>
      </c>
      <c r="BM36" s="35">
        <f t="shared" si="42"/>
        <v>0</v>
      </c>
      <c r="BN36" s="162">
        <f t="shared" si="26"/>
        <v>0</v>
      </c>
      <c r="BO36" s="35">
        <f t="shared" si="42"/>
        <v>0</v>
      </c>
      <c r="BP36" s="54">
        <f t="shared" si="27"/>
        <v>0</v>
      </c>
      <c r="BQ36" s="151">
        <f t="shared" ref="BQ36:BV36" si="43">SUM(BQ5:BQ35)</f>
        <v>0</v>
      </c>
      <c r="BR36" s="35">
        <f t="shared" si="43"/>
        <v>0</v>
      </c>
      <c r="BS36" s="143">
        <f t="shared" si="28"/>
        <v>0</v>
      </c>
      <c r="BT36" s="155">
        <f t="shared" si="29"/>
        <v>0</v>
      </c>
      <c r="BU36" s="35">
        <f t="shared" si="43"/>
        <v>0</v>
      </c>
      <c r="BV36" s="35">
        <f t="shared" si="43"/>
        <v>0</v>
      </c>
      <c r="BW36" s="162">
        <f t="shared" si="30"/>
        <v>0</v>
      </c>
      <c r="BX36" s="155">
        <f t="shared" ref="BX36:CA36" si="44">SUM(BX5:BX35)</f>
        <v>0</v>
      </c>
      <c r="BY36" s="54">
        <f t="shared" si="31"/>
        <v>0</v>
      </c>
      <c r="BZ36" s="151">
        <f t="shared" si="44"/>
        <v>0</v>
      </c>
      <c r="CA36" s="35">
        <f t="shared" si="44"/>
        <v>0</v>
      </c>
      <c r="CB36" s="143">
        <f t="shared" si="32"/>
        <v>0</v>
      </c>
      <c r="CC36" s="155">
        <f t="shared" si="33"/>
        <v>0</v>
      </c>
      <c r="CD36" s="35">
        <f t="shared" ref="CD36:CG36" si="45">SUM(CD5:CD35)</f>
        <v>0</v>
      </c>
      <c r="CE36" s="35">
        <f t="shared" si="45"/>
        <v>0</v>
      </c>
      <c r="CF36" s="162">
        <f t="shared" si="34"/>
        <v>0</v>
      </c>
      <c r="CG36" s="155">
        <f t="shared" si="45"/>
        <v>0</v>
      </c>
      <c r="CH36" s="54">
        <f t="shared" si="35"/>
        <v>0</v>
      </c>
    </row>
    <row r="37" s="1" customFormat="1" spans="1:86">
      <c r="A37" s="4"/>
      <c r="B37" s="4"/>
      <c r="C37" s="24"/>
      <c r="D37" s="24"/>
      <c r="E37" s="24"/>
      <c r="F37" s="31"/>
      <c r="G37" s="24"/>
      <c r="H37" s="32"/>
      <c r="I37" s="32"/>
      <c r="J37" s="32"/>
      <c r="K37" s="24"/>
      <c r="L37" s="32"/>
      <c r="M37" s="32"/>
      <c r="N37" s="57"/>
      <c r="O37" s="34"/>
      <c r="P37" s="34"/>
      <c r="Q37" s="34"/>
      <c r="R37" s="69">
        <f>R36+V36</f>
        <v>0</v>
      </c>
      <c r="S37" s="34"/>
      <c r="T37" s="34"/>
      <c r="U37" s="34"/>
      <c r="V37" s="24"/>
      <c r="W37" s="24"/>
      <c r="X37" s="24"/>
      <c r="Y37" s="96"/>
      <c r="Z37" s="24"/>
      <c r="AA37" s="97">
        <f t="shared" ref="AA37:AG37" si="46">AA36*$AC$2</f>
        <v>0</v>
      </c>
      <c r="AB37" s="98"/>
      <c r="AC37" s="98"/>
      <c r="AD37" s="97">
        <f t="shared" si="46"/>
        <v>0</v>
      </c>
      <c r="AE37" s="97"/>
      <c r="AF37" s="97">
        <f t="shared" si="46"/>
        <v>0</v>
      </c>
      <c r="AG37" s="97">
        <f t="shared" si="46"/>
        <v>0</v>
      </c>
      <c r="AH37" s="98"/>
      <c r="AI37" s="98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139"/>
      <c r="AX37" s="139"/>
      <c r="AY37" s="139"/>
      <c r="AZ37" s="140"/>
      <c r="BD37" s="24"/>
      <c r="BE37" s="31"/>
      <c r="BF37" s="24"/>
      <c r="BG37" s="31"/>
      <c r="BH37" s="34"/>
      <c r="BI37" s="34"/>
      <c r="BJ37" s="34"/>
      <c r="BK37" s="34"/>
      <c r="BL37" s="34"/>
      <c r="BM37" s="34"/>
      <c r="BN37" s="163"/>
      <c r="BO37" s="34"/>
      <c r="BP37" s="24"/>
      <c r="BW37" s="8"/>
      <c r="BY37" s="5"/>
      <c r="CF37" s="8"/>
      <c r="CH37" s="5"/>
    </row>
    <row r="38" s="1" customFormat="1" spans="1:86">
      <c r="A38" s="4"/>
      <c r="B38" s="4"/>
      <c r="C38" s="24"/>
      <c r="D38" s="24"/>
      <c r="E38" s="24"/>
      <c r="F38" s="31"/>
      <c r="G38" s="24"/>
      <c r="H38" s="32"/>
      <c r="I38" s="32"/>
      <c r="J38" s="32"/>
      <c r="K38" s="24"/>
      <c r="L38" s="34"/>
      <c r="M38" s="34"/>
      <c r="N38" s="58"/>
      <c r="O38" s="34"/>
      <c r="P38" s="34"/>
      <c r="Q38" s="34"/>
      <c r="R38" s="34"/>
      <c r="S38" s="34"/>
      <c r="T38" s="34"/>
      <c r="U38" s="34"/>
      <c r="V38" s="34"/>
      <c r="W38" s="24"/>
      <c r="X38" s="24"/>
      <c r="Y38" s="24"/>
      <c r="Z38" s="24"/>
      <c r="AA38" s="24"/>
      <c r="AB38" s="24"/>
      <c r="AC38" s="24"/>
      <c r="AD38" s="107"/>
      <c r="AE38" s="108"/>
      <c r="AF38" s="108"/>
      <c r="AG38" s="97"/>
      <c r="AH38" s="24"/>
      <c r="AI38" s="98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24"/>
      <c r="BE38" s="31"/>
      <c r="BF38" s="24"/>
      <c r="BG38" s="31"/>
      <c r="BH38" s="34"/>
      <c r="BI38" s="34"/>
      <c r="BJ38" s="34"/>
      <c r="BK38" s="34"/>
      <c r="BL38" s="34"/>
      <c r="BM38" s="34"/>
      <c r="BN38" s="163"/>
      <c r="BO38" s="34"/>
      <c r="BP38" s="24"/>
      <c r="BW38" s="8"/>
      <c r="BY38" s="5"/>
      <c r="CF38" s="8"/>
      <c r="CH38" s="5"/>
    </row>
    <row r="39" s="1" customFormat="1" spans="1:86">
      <c r="A39" s="4"/>
      <c r="B39" s="4"/>
      <c r="C39" s="24"/>
      <c r="D39" s="24"/>
      <c r="E39" s="24"/>
      <c r="F39" s="31"/>
      <c r="G39" s="24"/>
      <c r="H39" s="32"/>
      <c r="I39" s="32"/>
      <c r="J39" s="32"/>
      <c r="K39" s="24"/>
      <c r="L39" s="32"/>
      <c r="M39" s="32"/>
      <c r="N39" s="58"/>
      <c r="O39" s="34"/>
      <c r="P39" s="34"/>
      <c r="Q39" s="34"/>
      <c r="R39" s="34"/>
      <c r="S39" s="34"/>
      <c r="T39" s="34"/>
      <c r="U39" s="34"/>
      <c r="V39" s="34"/>
      <c r="W39" s="24"/>
      <c r="X39" s="24"/>
      <c r="Y39" s="24"/>
      <c r="Z39" s="24"/>
      <c r="AA39" s="24"/>
      <c r="AB39" s="24"/>
      <c r="AC39" s="24"/>
      <c r="AD39" s="31"/>
      <c r="AE39" s="96"/>
      <c r="AF39" s="96"/>
      <c r="AG39" s="121"/>
      <c r="AH39" s="24"/>
      <c r="AI39" s="98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24"/>
      <c r="BE39" s="31"/>
      <c r="BF39" s="24"/>
      <c r="BG39" s="31"/>
      <c r="BH39" s="34"/>
      <c r="BI39" s="34"/>
      <c r="BJ39" s="34"/>
      <c r="BK39" s="34"/>
      <c r="BL39" s="34"/>
      <c r="BM39" s="34"/>
      <c r="BN39" s="163"/>
      <c r="BO39" s="34"/>
      <c r="BP39" s="24"/>
      <c r="BW39" s="8"/>
      <c r="BY39" s="5"/>
      <c r="CF39" s="8"/>
      <c r="CH39" s="5"/>
    </row>
    <row r="40" s="1" customFormat="1" spans="1:86">
      <c r="A40" s="4"/>
      <c r="B40" s="4"/>
      <c r="C40" s="24"/>
      <c r="D40" s="24"/>
      <c r="E40" s="24"/>
      <c r="F40" s="31"/>
      <c r="G40" s="24"/>
      <c r="H40" s="32"/>
      <c r="I40" s="32"/>
      <c r="J40" s="32"/>
      <c r="K40" s="24"/>
      <c r="L40" s="36"/>
      <c r="M40" s="36"/>
      <c r="N40" s="59"/>
      <c r="O40" s="60"/>
      <c r="P40" s="60"/>
      <c r="Q40" s="60"/>
      <c r="R40" s="60"/>
      <c r="S40" s="60"/>
      <c r="T40" s="60"/>
      <c r="U40" s="60"/>
      <c r="V40" s="60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98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24"/>
      <c r="BE40" s="31"/>
      <c r="BF40" s="24"/>
      <c r="BG40" s="31"/>
      <c r="BH40" s="34"/>
      <c r="BJ40" s="34"/>
      <c r="BK40" s="34"/>
      <c r="BL40" s="34"/>
      <c r="BM40" s="34"/>
      <c r="BN40" s="163"/>
      <c r="BO40" s="34"/>
      <c r="BP40" s="24"/>
      <c r="BW40" s="8"/>
      <c r="BY40" s="5"/>
      <c r="CF40" s="8"/>
      <c r="CH40" s="5"/>
    </row>
    <row r="41" s="1" customFormat="1" spans="1:86">
      <c r="A41" s="4"/>
      <c r="B41" s="4"/>
      <c r="C41" s="24"/>
      <c r="D41" s="24"/>
      <c r="E41" s="24"/>
      <c r="F41" s="31"/>
      <c r="G41" s="24"/>
      <c r="H41" s="32"/>
      <c r="I41" s="32"/>
      <c r="J41" s="32"/>
      <c r="K41" s="24"/>
      <c r="L41" s="36"/>
      <c r="M41" s="36"/>
      <c r="N41" s="59"/>
      <c r="O41" s="60"/>
      <c r="P41" s="60"/>
      <c r="Q41" s="60"/>
      <c r="R41" s="60"/>
      <c r="S41" s="60"/>
      <c r="T41" s="60"/>
      <c r="U41" s="60"/>
      <c r="V41" s="60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98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24"/>
      <c r="BE41" s="31"/>
      <c r="BF41" s="24"/>
      <c r="BG41" s="31"/>
      <c r="BH41" s="34"/>
      <c r="BI41" s="34"/>
      <c r="BJ41" s="34"/>
      <c r="BK41" s="34"/>
      <c r="BL41" s="34"/>
      <c r="BM41" s="34"/>
      <c r="BN41" s="163"/>
      <c r="BO41" s="34"/>
      <c r="BP41" s="24"/>
      <c r="BW41" s="8"/>
      <c r="BY41" s="5"/>
      <c r="CF41" s="8"/>
      <c r="CH41" s="5"/>
    </row>
    <row r="42" s="1" customFormat="1" spans="1:86">
      <c r="A42" s="4"/>
      <c r="B42" s="4"/>
      <c r="C42" s="24"/>
      <c r="D42" s="24"/>
      <c r="E42" s="24"/>
      <c r="F42" s="31"/>
      <c r="G42" s="24"/>
      <c r="H42" s="32"/>
      <c r="I42" s="32"/>
      <c r="J42" s="32"/>
      <c r="K42" s="24"/>
      <c r="L42" s="36"/>
      <c r="M42" s="36"/>
      <c r="N42" s="59"/>
      <c r="O42" s="60"/>
      <c r="P42" s="60"/>
      <c r="Q42" s="60"/>
      <c r="R42" s="60"/>
      <c r="S42" s="60"/>
      <c r="T42" s="60"/>
      <c r="U42" s="60"/>
      <c r="V42" s="60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98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24"/>
      <c r="BE42" s="31"/>
      <c r="BF42" s="24"/>
      <c r="BG42" s="31"/>
      <c r="BH42" s="34"/>
      <c r="BI42" s="34"/>
      <c r="BJ42" s="34"/>
      <c r="BK42" s="34"/>
      <c r="BL42" s="34"/>
      <c r="BM42" s="34"/>
      <c r="BN42" s="163"/>
      <c r="BO42" s="34"/>
      <c r="BP42" s="24"/>
      <c r="BW42" s="8"/>
      <c r="BY42" s="5"/>
      <c r="CF42" s="8"/>
      <c r="CH42" s="5"/>
    </row>
    <row r="43" s="1" customFormat="1" spans="1:86">
      <c r="A43" s="4"/>
      <c r="B43" s="4"/>
      <c r="C43" s="24"/>
      <c r="D43" s="24"/>
      <c r="E43" s="24"/>
      <c r="F43" s="31"/>
      <c r="G43" s="24"/>
      <c r="H43" s="32"/>
      <c r="I43" s="32"/>
      <c r="J43" s="32"/>
      <c r="K43" s="24"/>
      <c r="L43" s="36"/>
      <c r="M43" s="36"/>
      <c r="N43" s="59"/>
      <c r="O43" s="60"/>
      <c r="P43" s="60"/>
      <c r="Q43" s="60"/>
      <c r="R43" s="60"/>
      <c r="S43" s="60"/>
      <c r="T43" s="60"/>
      <c r="U43" s="60"/>
      <c r="V43" s="60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98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24"/>
      <c r="BE43" s="31"/>
      <c r="BF43" s="24"/>
      <c r="BG43" s="31"/>
      <c r="BH43" s="34"/>
      <c r="BI43" s="34"/>
      <c r="BJ43" s="34"/>
      <c r="BK43" s="34"/>
      <c r="BL43" s="34"/>
      <c r="BM43" s="34"/>
      <c r="BN43" s="163"/>
      <c r="BO43" s="34"/>
      <c r="BP43" s="24"/>
      <c r="BW43" s="8"/>
      <c r="BY43" s="5"/>
      <c r="CF43" s="8"/>
      <c r="CH43" s="5"/>
    </row>
    <row r="44" s="1" customFormat="1" spans="1:86">
      <c r="A44" s="4"/>
      <c r="B44" s="4"/>
      <c r="C44" s="24"/>
      <c r="D44" s="24"/>
      <c r="E44" s="24"/>
      <c r="F44" s="31"/>
      <c r="G44" s="24"/>
      <c r="H44" s="32"/>
      <c r="I44" s="32"/>
      <c r="J44" s="32"/>
      <c r="K44" s="24"/>
      <c r="L44" s="36"/>
      <c r="M44" s="36"/>
      <c r="N44" s="59"/>
      <c r="O44" s="60"/>
      <c r="P44" s="60"/>
      <c r="Q44" s="60"/>
      <c r="R44" s="60"/>
      <c r="S44" s="60"/>
      <c r="T44" s="60"/>
      <c r="U44" s="60"/>
      <c r="V44" s="60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98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24"/>
      <c r="BE44" s="31"/>
      <c r="BF44" s="24"/>
      <c r="BG44" s="31"/>
      <c r="BH44" s="34"/>
      <c r="BI44" s="34"/>
      <c r="BJ44" s="34"/>
      <c r="BK44" s="34"/>
      <c r="BL44" s="34"/>
      <c r="BM44" s="34"/>
      <c r="BN44" s="163"/>
      <c r="BO44" s="34"/>
      <c r="BP44" s="24"/>
      <c r="BW44" s="8"/>
      <c r="BY44" s="5"/>
      <c r="CF44" s="8"/>
      <c r="CH44" s="5"/>
    </row>
    <row r="45" s="1" customFormat="1" spans="1:86">
      <c r="A45" s="4"/>
      <c r="B45" s="4"/>
      <c r="C45" s="24"/>
      <c r="D45" s="24"/>
      <c r="E45" s="24"/>
      <c r="F45" s="31"/>
      <c r="G45" s="24"/>
      <c r="H45" s="32"/>
      <c r="I45" s="32"/>
      <c r="J45" s="32"/>
      <c r="K45" s="24"/>
      <c r="L45" s="36"/>
      <c r="M45" s="36"/>
      <c r="N45" s="59"/>
      <c r="O45" s="60"/>
      <c r="P45" s="60"/>
      <c r="Q45" s="60"/>
      <c r="R45" s="60"/>
      <c r="S45" s="60"/>
      <c r="T45" s="60"/>
      <c r="U45" s="60"/>
      <c r="V45" s="60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98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24"/>
      <c r="BE45" s="31"/>
      <c r="BF45" s="24"/>
      <c r="BG45" s="31"/>
      <c r="BH45" s="34"/>
      <c r="BI45" s="34"/>
      <c r="BJ45" s="34"/>
      <c r="BK45" s="34"/>
      <c r="BL45" s="34"/>
      <c r="BM45" s="34"/>
      <c r="BN45" s="163"/>
      <c r="BO45" s="34"/>
      <c r="BP45" s="24"/>
      <c r="BW45" s="8"/>
      <c r="BY45" s="5"/>
      <c r="CF45" s="8"/>
      <c r="CH45" s="5"/>
    </row>
    <row r="46" s="1" customFormat="1" spans="1:86">
      <c r="A46" s="4"/>
      <c r="B46" s="4"/>
      <c r="C46" s="24"/>
      <c r="D46" s="24"/>
      <c r="E46" s="24"/>
      <c r="F46" s="33"/>
      <c r="G46" s="24"/>
      <c r="H46" s="32"/>
      <c r="I46" s="32"/>
      <c r="J46" s="32"/>
      <c r="K46" s="24"/>
      <c r="L46" s="36"/>
      <c r="M46" s="36"/>
      <c r="N46" s="59"/>
      <c r="O46" s="60"/>
      <c r="P46" s="60"/>
      <c r="Q46" s="60"/>
      <c r="R46" s="60"/>
      <c r="S46" s="60"/>
      <c r="T46" s="60"/>
      <c r="U46" s="60"/>
      <c r="V46" s="60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98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24"/>
      <c r="BE46" s="31"/>
      <c r="BF46" s="24"/>
      <c r="BG46" s="31"/>
      <c r="BH46" s="34"/>
      <c r="BI46" s="34"/>
      <c r="BJ46" s="34"/>
      <c r="BK46" s="34"/>
      <c r="BL46" s="34"/>
      <c r="BM46" s="34"/>
      <c r="BN46" s="163"/>
      <c r="BO46" s="34"/>
      <c r="BP46" s="24"/>
      <c r="BW46" s="8"/>
      <c r="BY46" s="5"/>
      <c r="CF46" s="8"/>
      <c r="CH46" s="5"/>
    </row>
    <row r="47" s="1" customFormat="1" spans="1:86">
      <c r="A47" s="4"/>
      <c r="B47" s="4"/>
      <c r="C47" s="24"/>
      <c r="D47" s="24"/>
      <c r="E47" s="24"/>
      <c r="F47" s="34"/>
      <c r="G47" s="24"/>
      <c r="H47" s="32"/>
      <c r="I47" s="32"/>
      <c r="J47" s="32"/>
      <c r="K47" s="24"/>
      <c r="L47" s="36"/>
      <c r="M47" s="36"/>
      <c r="N47" s="59"/>
      <c r="O47" s="60"/>
      <c r="P47" s="60"/>
      <c r="Q47" s="60"/>
      <c r="R47" s="60"/>
      <c r="S47" s="60"/>
      <c r="T47" s="60"/>
      <c r="U47" s="60"/>
      <c r="V47" s="60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98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24"/>
      <c r="BE47" s="31"/>
      <c r="BF47" s="24"/>
      <c r="BG47" s="31"/>
      <c r="BH47" s="34"/>
      <c r="BI47" s="34"/>
      <c r="BJ47" s="34"/>
      <c r="BK47" s="34"/>
      <c r="BL47" s="34"/>
      <c r="BM47" s="34"/>
      <c r="BN47" s="163"/>
      <c r="BO47" s="34"/>
      <c r="BP47" s="24"/>
      <c r="BW47" s="8"/>
      <c r="BY47" s="5"/>
      <c r="CF47" s="8"/>
      <c r="CH47" s="5"/>
    </row>
    <row r="48" s="1" customFormat="1" spans="1:86">
      <c r="A48" s="4"/>
      <c r="B48" s="4"/>
      <c r="C48" s="24"/>
      <c r="D48" s="24"/>
      <c r="E48" s="24"/>
      <c r="F48" s="24"/>
      <c r="G48" s="24"/>
      <c r="H48" s="32"/>
      <c r="I48" s="32"/>
      <c r="J48" s="32"/>
      <c r="K48" s="24"/>
      <c r="L48" s="36"/>
      <c r="M48" s="36"/>
      <c r="N48" s="59"/>
      <c r="O48" s="60"/>
      <c r="P48" s="60"/>
      <c r="Q48" s="60"/>
      <c r="R48" s="60"/>
      <c r="S48" s="60"/>
      <c r="T48" s="60"/>
      <c r="U48" s="60"/>
      <c r="V48" s="60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98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24"/>
      <c r="BE48" s="31"/>
      <c r="BF48" s="24"/>
      <c r="BG48" s="31"/>
      <c r="BH48" s="34"/>
      <c r="BI48" s="34"/>
      <c r="BJ48" s="34"/>
      <c r="BK48" s="34"/>
      <c r="BL48" s="34"/>
      <c r="BM48" s="34"/>
      <c r="BN48" s="163"/>
      <c r="BO48" s="34"/>
      <c r="BP48" s="24"/>
      <c r="BW48" s="8"/>
      <c r="BY48" s="5"/>
      <c r="CF48" s="8"/>
      <c r="CH48" s="5"/>
    </row>
    <row r="49" s="1" customFormat="1" spans="1:86">
      <c r="A49" s="4"/>
      <c r="B49" s="4"/>
      <c r="C49" s="24"/>
      <c r="D49" s="24"/>
      <c r="E49" s="24"/>
      <c r="F49" s="24"/>
      <c r="G49" s="24"/>
      <c r="H49" s="32"/>
      <c r="I49" s="32"/>
      <c r="J49" s="32"/>
      <c r="K49" s="24"/>
      <c r="L49" s="36"/>
      <c r="M49" s="36"/>
      <c r="N49" s="59"/>
      <c r="O49" s="60"/>
      <c r="P49" s="60"/>
      <c r="Q49" s="60"/>
      <c r="R49" s="60"/>
      <c r="S49" s="60"/>
      <c r="T49" s="60"/>
      <c r="U49" s="60"/>
      <c r="V49" s="60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98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24"/>
      <c r="BE49" s="31"/>
      <c r="BF49" s="24"/>
      <c r="BG49" s="31"/>
      <c r="BH49" s="34"/>
      <c r="BI49" s="34"/>
      <c r="BJ49" s="34"/>
      <c r="BK49" s="34"/>
      <c r="BL49" s="34"/>
      <c r="BM49" s="34"/>
      <c r="BN49" s="163"/>
      <c r="BO49" s="34"/>
      <c r="BP49" s="24"/>
      <c r="BW49" s="8"/>
      <c r="BY49" s="5"/>
      <c r="CF49" s="8"/>
      <c r="CH49" s="5"/>
    </row>
    <row r="50" s="1" customFormat="1" spans="1:86">
      <c r="A50" s="4"/>
      <c r="B50" s="4"/>
      <c r="C50" s="24"/>
      <c r="D50" s="24"/>
      <c r="E50" s="24"/>
      <c r="F50" s="24"/>
      <c r="G50" s="24"/>
      <c r="H50" s="32"/>
      <c r="I50" s="32"/>
      <c r="J50" s="32"/>
      <c r="K50" s="24"/>
      <c r="L50" s="36"/>
      <c r="M50" s="36"/>
      <c r="N50" s="59"/>
      <c r="O50" s="60"/>
      <c r="P50" s="60"/>
      <c r="Q50" s="60"/>
      <c r="R50" s="60"/>
      <c r="S50" s="60"/>
      <c r="T50" s="60"/>
      <c r="U50" s="60"/>
      <c r="V50" s="60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98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24"/>
      <c r="BE50" s="31"/>
      <c r="BF50" s="24"/>
      <c r="BG50" s="31"/>
      <c r="BH50" s="34"/>
      <c r="BI50" s="34"/>
      <c r="BJ50" s="34"/>
      <c r="BK50" s="34"/>
      <c r="BL50" s="34"/>
      <c r="BM50" s="34"/>
      <c r="BN50" s="163"/>
      <c r="BO50" s="34"/>
      <c r="BP50" s="24"/>
      <c r="BW50" s="8"/>
      <c r="BY50" s="5"/>
      <c r="CF50" s="8"/>
      <c r="CH50" s="5"/>
    </row>
    <row r="51" s="1" customFormat="1" spans="1:86">
      <c r="A51" s="4"/>
      <c r="B51" s="4"/>
      <c r="C51" s="24"/>
      <c r="D51" s="24"/>
      <c r="E51" s="24"/>
      <c r="F51" s="24"/>
      <c r="G51" s="24"/>
      <c r="H51" s="32"/>
      <c r="I51" s="32"/>
      <c r="J51" s="32"/>
      <c r="K51" s="24"/>
      <c r="L51" s="36"/>
      <c r="M51" s="36"/>
      <c r="N51" s="59"/>
      <c r="O51" s="60"/>
      <c r="P51" s="60"/>
      <c r="Q51" s="60"/>
      <c r="R51" s="60"/>
      <c r="S51" s="60"/>
      <c r="T51" s="60"/>
      <c r="U51" s="60"/>
      <c r="V51" s="60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98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24"/>
      <c r="BE51" s="31"/>
      <c r="BF51" s="24"/>
      <c r="BG51" s="31"/>
      <c r="BH51" s="34"/>
      <c r="BI51" s="34"/>
      <c r="BJ51" s="34"/>
      <c r="BK51" s="34"/>
      <c r="BL51" s="34"/>
      <c r="BM51" s="34"/>
      <c r="BN51" s="163"/>
      <c r="BO51" s="34"/>
      <c r="BP51" s="24"/>
      <c r="BW51" s="8"/>
      <c r="BY51" s="5"/>
      <c r="CF51" s="8"/>
      <c r="CH51" s="5"/>
    </row>
    <row r="52" s="1" customFormat="1" spans="1:86">
      <c r="A52" s="4"/>
      <c r="B52" s="4"/>
      <c r="C52" s="24"/>
      <c r="D52" s="24"/>
      <c r="E52" s="24"/>
      <c r="F52" s="24"/>
      <c r="G52" s="24"/>
      <c r="H52" s="32"/>
      <c r="I52" s="32"/>
      <c r="J52" s="32"/>
      <c r="K52" s="24"/>
      <c r="L52" s="36"/>
      <c r="M52" s="36"/>
      <c r="N52" s="59"/>
      <c r="O52" s="60"/>
      <c r="P52" s="60"/>
      <c r="Q52" s="60"/>
      <c r="R52" s="60"/>
      <c r="S52" s="60"/>
      <c r="T52" s="60"/>
      <c r="U52" s="60"/>
      <c r="V52" s="60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98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24"/>
      <c r="BE52" s="31"/>
      <c r="BF52" s="24"/>
      <c r="BG52" s="31"/>
      <c r="BH52" s="34"/>
      <c r="BI52" s="34"/>
      <c r="BJ52" s="34"/>
      <c r="BK52" s="34"/>
      <c r="BL52" s="34"/>
      <c r="BM52" s="34"/>
      <c r="BN52" s="163"/>
      <c r="BO52" s="34"/>
      <c r="BP52" s="24"/>
      <c r="BW52" s="8"/>
      <c r="BY52" s="5"/>
      <c r="CF52" s="8"/>
      <c r="CH52" s="5"/>
    </row>
    <row r="53" s="1" customFormat="1" spans="1:86">
      <c r="A53" s="4"/>
      <c r="B53" s="4"/>
      <c r="C53" s="24"/>
      <c r="D53" s="24"/>
      <c r="E53" s="24"/>
      <c r="F53" s="24"/>
      <c r="G53" s="24"/>
      <c r="H53" s="32"/>
      <c r="I53" s="32"/>
      <c r="J53" s="32"/>
      <c r="K53" s="24"/>
      <c r="L53" s="36"/>
      <c r="M53" s="36"/>
      <c r="N53" s="59"/>
      <c r="O53" s="60"/>
      <c r="P53" s="60"/>
      <c r="Q53" s="60"/>
      <c r="R53" s="60"/>
      <c r="S53" s="60"/>
      <c r="T53" s="60"/>
      <c r="U53" s="60"/>
      <c r="V53" s="60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98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24"/>
      <c r="BE53" s="31"/>
      <c r="BF53" s="24"/>
      <c r="BG53" s="31"/>
      <c r="BH53" s="34"/>
      <c r="BI53" s="34"/>
      <c r="BJ53" s="34"/>
      <c r="BK53" s="34"/>
      <c r="BL53" s="34"/>
      <c r="BM53" s="34"/>
      <c r="BN53" s="163"/>
      <c r="BO53" s="34"/>
      <c r="BP53" s="24"/>
      <c r="BW53" s="8"/>
      <c r="BY53" s="5"/>
      <c r="CF53" s="8"/>
      <c r="CH53" s="5"/>
    </row>
    <row r="54" s="1" customFormat="1" spans="1:86">
      <c r="A54" s="4"/>
      <c r="B54" s="4"/>
      <c r="C54" s="24"/>
      <c r="D54" s="24"/>
      <c r="E54" s="24"/>
      <c r="F54" s="24"/>
      <c r="G54" s="24"/>
      <c r="H54" s="32"/>
      <c r="I54" s="32"/>
      <c r="J54" s="32"/>
      <c r="K54" s="24"/>
      <c r="L54" s="36"/>
      <c r="M54" s="36"/>
      <c r="N54" s="59"/>
      <c r="O54" s="60"/>
      <c r="P54" s="60"/>
      <c r="Q54" s="60"/>
      <c r="R54" s="60"/>
      <c r="S54" s="60"/>
      <c r="T54" s="60"/>
      <c r="U54" s="60"/>
      <c r="V54" s="60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98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24"/>
      <c r="BE54" s="31"/>
      <c r="BF54" s="24"/>
      <c r="BG54" s="31"/>
      <c r="BH54" s="34"/>
      <c r="BI54" s="34"/>
      <c r="BJ54" s="34"/>
      <c r="BK54" s="34"/>
      <c r="BL54" s="34"/>
      <c r="BM54" s="34"/>
      <c r="BN54" s="163"/>
      <c r="BO54" s="34"/>
      <c r="BP54" s="24"/>
      <c r="BW54" s="8"/>
      <c r="BY54" s="5"/>
      <c r="CF54" s="8"/>
      <c r="CH54" s="5"/>
    </row>
    <row r="55" s="1" customFormat="1" spans="1:86">
      <c r="A55" s="4"/>
      <c r="B55" s="4"/>
      <c r="C55" s="24"/>
      <c r="D55" s="24"/>
      <c r="E55" s="24"/>
      <c r="F55" s="24"/>
      <c r="G55" s="24"/>
      <c r="H55" s="32"/>
      <c r="I55" s="32"/>
      <c r="J55" s="32"/>
      <c r="K55" s="24"/>
      <c r="L55" s="36"/>
      <c r="M55" s="36"/>
      <c r="N55" s="59"/>
      <c r="O55" s="60"/>
      <c r="P55" s="60"/>
      <c r="Q55" s="60"/>
      <c r="R55" s="60"/>
      <c r="S55" s="60"/>
      <c r="T55" s="60"/>
      <c r="U55" s="60"/>
      <c r="V55" s="60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24"/>
      <c r="BE55" s="31"/>
      <c r="BF55" s="24"/>
      <c r="BG55" s="31"/>
      <c r="BH55" s="34"/>
      <c r="BI55" s="34"/>
      <c r="BJ55" s="34"/>
      <c r="BK55" s="34"/>
      <c r="BL55" s="34"/>
      <c r="BM55" s="34"/>
      <c r="BN55" s="163"/>
      <c r="BO55" s="34"/>
      <c r="BP55" s="24"/>
      <c r="BW55" s="8"/>
      <c r="BY55" s="5"/>
      <c r="CF55" s="8"/>
      <c r="CH55" s="5"/>
    </row>
    <row r="56" s="1" customFormat="1" spans="1:86">
      <c r="A56" s="4"/>
      <c r="B56" s="4"/>
      <c r="C56" s="24"/>
      <c r="D56" s="24"/>
      <c r="E56" s="24"/>
      <c r="F56" s="24"/>
      <c r="G56" s="24"/>
      <c r="H56" s="32"/>
      <c r="I56" s="32"/>
      <c r="J56" s="32"/>
      <c r="K56" s="24"/>
      <c r="L56" s="36"/>
      <c r="M56" s="36"/>
      <c r="N56" s="59"/>
      <c r="O56" s="60"/>
      <c r="P56" s="60"/>
      <c r="Q56" s="60"/>
      <c r="R56" s="60"/>
      <c r="S56" s="60"/>
      <c r="T56" s="60"/>
      <c r="U56" s="60"/>
      <c r="V56" s="60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24"/>
      <c r="BE56" s="31"/>
      <c r="BF56" s="24"/>
      <c r="BG56" s="31"/>
      <c r="BH56" s="34"/>
      <c r="BI56" s="34"/>
      <c r="BJ56" s="34"/>
      <c r="BK56" s="34"/>
      <c r="BL56" s="34"/>
      <c r="BM56" s="34"/>
      <c r="BN56" s="163"/>
      <c r="BO56" s="34"/>
      <c r="BP56" s="24"/>
      <c r="BW56" s="8"/>
      <c r="BY56" s="5"/>
      <c r="CF56" s="8"/>
      <c r="CH56" s="5"/>
    </row>
    <row r="57" s="1" customFormat="1" spans="1:86">
      <c r="A57" s="4"/>
      <c r="B57" s="4"/>
      <c r="C57" s="24"/>
      <c r="D57" s="24"/>
      <c r="E57" s="24"/>
      <c r="F57" s="24"/>
      <c r="G57" s="24"/>
      <c r="H57" s="32"/>
      <c r="I57" s="32"/>
      <c r="J57" s="32"/>
      <c r="K57" s="24"/>
      <c r="L57" s="36"/>
      <c r="M57" s="36"/>
      <c r="N57" s="59"/>
      <c r="O57" s="60"/>
      <c r="P57" s="60"/>
      <c r="Q57" s="60"/>
      <c r="R57" s="60"/>
      <c r="S57" s="60"/>
      <c r="T57" s="60"/>
      <c r="U57" s="60"/>
      <c r="V57" s="77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24"/>
      <c r="BE57" s="31"/>
      <c r="BF57" s="24"/>
      <c r="BG57" s="31"/>
      <c r="BH57" s="34"/>
      <c r="BI57" s="34"/>
      <c r="BJ57" s="34"/>
      <c r="BK57" s="34"/>
      <c r="BL57" s="34"/>
      <c r="BM57" s="34"/>
      <c r="BN57" s="163"/>
      <c r="BO57" s="34"/>
      <c r="BP57" s="24"/>
      <c r="BW57" s="8"/>
      <c r="BY57" s="5"/>
      <c r="CF57" s="8"/>
      <c r="CH57" s="5"/>
    </row>
    <row r="58" s="1" customFormat="1" spans="1:86">
      <c r="A58" s="4"/>
      <c r="B58" s="4"/>
      <c r="C58" s="24"/>
      <c r="D58" s="24"/>
      <c r="E58" s="24"/>
      <c r="F58" s="24"/>
      <c r="G58" s="24"/>
      <c r="H58" s="32"/>
      <c r="I58" s="32"/>
      <c r="J58" s="32"/>
      <c r="K58" s="24"/>
      <c r="L58" s="36"/>
      <c r="M58" s="36"/>
      <c r="N58" s="59"/>
      <c r="O58" s="60"/>
      <c r="P58" s="60"/>
      <c r="Q58" s="60"/>
      <c r="R58" s="60"/>
      <c r="S58" s="60"/>
      <c r="T58" s="60"/>
      <c r="U58" s="60"/>
      <c r="V58" s="77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24"/>
      <c r="BE58" s="31"/>
      <c r="BF58" s="24"/>
      <c r="BG58" s="31"/>
      <c r="BH58" s="34"/>
      <c r="BI58" s="34"/>
      <c r="BJ58" s="34"/>
      <c r="BK58" s="34"/>
      <c r="BL58" s="34"/>
      <c r="BM58" s="34"/>
      <c r="BN58" s="163"/>
      <c r="BO58" s="34"/>
      <c r="BP58" s="24"/>
      <c r="BW58" s="8"/>
      <c r="BY58" s="5"/>
      <c r="CF58" s="8"/>
      <c r="CH58" s="5"/>
    </row>
    <row r="59" s="1" customFormat="1" spans="1:86">
      <c r="A59" s="4"/>
      <c r="B59" s="4"/>
      <c r="C59" s="24"/>
      <c r="D59" s="24"/>
      <c r="E59" s="24"/>
      <c r="F59" s="24"/>
      <c r="G59" s="24"/>
      <c r="H59" s="32"/>
      <c r="I59" s="32"/>
      <c r="J59" s="32"/>
      <c r="K59" s="24"/>
      <c r="L59" s="36"/>
      <c r="M59" s="36"/>
      <c r="N59" s="59"/>
      <c r="O59" s="60"/>
      <c r="P59" s="60"/>
      <c r="Q59" s="60"/>
      <c r="R59" s="60"/>
      <c r="S59" s="60"/>
      <c r="T59" s="60"/>
      <c r="U59" s="60"/>
      <c r="V59" s="77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24"/>
      <c r="BE59" s="31"/>
      <c r="BF59" s="24"/>
      <c r="BG59" s="31"/>
      <c r="BH59" s="34"/>
      <c r="BI59" s="34"/>
      <c r="BJ59" s="34"/>
      <c r="BK59" s="34"/>
      <c r="BL59" s="34"/>
      <c r="BM59" s="34"/>
      <c r="BN59" s="163"/>
      <c r="BO59" s="34"/>
      <c r="BP59" s="24"/>
      <c r="BW59" s="8"/>
      <c r="BY59" s="5"/>
      <c r="CF59" s="8"/>
      <c r="CH59" s="5"/>
    </row>
    <row r="60" s="1" customFormat="1" spans="1:86">
      <c r="A60" s="4"/>
      <c r="B60" s="4"/>
      <c r="C60" s="24"/>
      <c r="D60" s="24"/>
      <c r="E60" s="24"/>
      <c r="F60" s="24"/>
      <c r="G60" s="24"/>
      <c r="H60" s="32"/>
      <c r="I60" s="32"/>
      <c r="J60" s="32"/>
      <c r="K60" s="24"/>
      <c r="L60" s="36"/>
      <c r="M60" s="36"/>
      <c r="N60" s="59"/>
      <c r="O60" s="60"/>
      <c r="P60" s="60"/>
      <c r="Q60" s="60"/>
      <c r="R60" s="60"/>
      <c r="S60" s="60"/>
      <c r="T60" s="60"/>
      <c r="U60" s="60"/>
      <c r="V60" s="77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24"/>
      <c r="BE60" s="31"/>
      <c r="BF60" s="24"/>
      <c r="BG60" s="31"/>
      <c r="BH60" s="34"/>
      <c r="BI60" s="34"/>
      <c r="BJ60" s="34"/>
      <c r="BK60" s="34"/>
      <c r="BL60" s="34"/>
      <c r="BM60" s="34"/>
      <c r="BN60" s="163"/>
      <c r="BO60" s="34"/>
      <c r="BP60" s="24"/>
      <c r="BW60" s="8"/>
      <c r="BY60" s="5"/>
      <c r="CF60" s="8"/>
      <c r="CH60" s="5"/>
    </row>
    <row r="61" s="1" customFormat="1" spans="1:86">
      <c r="A61" s="4"/>
      <c r="B61" s="4"/>
      <c r="C61" s="24"/>
      <c r="D61" s="24"/>
      <c r="E61" s="24"/>
      <c r="F61" s="24"/>
      <c r="G61" s="24"/>
      <c r="H61" s="32"/>
      <c r="I61" s="32"/>
      <c r="J61" s="32"/>
      <c r="K61" s="24"/>
      <c r="L61" s="36"/>
      <c r="M61" s="36"/>
      <c r="N61" s="59"/>
      <c r="O61" s="60"/>
      <c r="P61" s="60"/>
      <c r="Q61" s="60"/>
      <c r="R61" s="60"/>
      <c r="S61" s="60"/>
      <c r="T61" s="60"/>
      <c r="U61" s="60"/>
      <c r="V61" s="77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24"/>
      <c r="BE61" s="31"/>
      <c r="BF61" s="24"/>
      <c r="BG61" s="31"/>
      <c r="BH61" s="34"/>
      <c r="BI61" s="34"/>
      <c r="BJ61" s="34"/>
      <c r="BK61" s="34"/>
      <c r="BL61" s="34"/>
      <c r="BM61" s="34"/>
      <c r="BN61" s="163"/>
      <c r="BO61" s="34"/>
      <c r="BP61" s="24"/>
      <c r="BW61" s="8"/>
      <c r="BY61" s="5"/>
      <c r="CF61" s="8"/>
      <c r="CH61" s="5"/>
    </row>
    <row r="62" s="1" customFormat="1" spans="1:86">
      <c r="A62" s="4"/>
      <c r="B62" s="4"/>
      <c r="C62" s="24"/>
      <c r="D62" s="24"/>
      <c r="E62" s="24"/>
      <c r="F62" s="24"/>
      <c r="G62" s="24"/>
      <c r="H62" s="32"/>
      <c r="I62" s="32"/>
      <c r="J62" s="32"/>
      <c r="K62" s="24"/>
      <c r="L62" s="32"/>
      <c r="M62" s="32"/>
      <c r="N62" s="59"/>
      <c r="O62" s="60"/>
      <c r="P62" s="60"/>
      <c r="Q62" s="60"/>
      <c r="R62" s="60"/>
      <c r="S62" s="60"/>
      <c r="T62" s="60"/>
      <c r="U62" s="60"/>
      <c r="V62" s="77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24"/>
      <c r="BE62" s="31"/>
      <c r="BF62" s="24"/>
      <c r="BG62" s="31"/>
      <c r="BH62" s="34"/>
      <c r="BI62" s="34"/>
      <c r="BJ62" s="34"/>
      <c r="BK62" s="34"/>
      <c r="BL62" s="34"/>
      <c r="BM62" s="34"/>
      <c r="BN62" s="163"/>
      <c r="BO62" s="34"/>
      <c r="BP62" s="24"/>
      <c r="BW62" s="8"/>
      <c r="BY62" s="5"/>
      <c r="CF62" s="8"/>
      <c r="CH62" s="5"/>
    </row>
    <row r="63" s="1" customFormat="1" spans="1:86">
      <c r="A63" s="4"/>
      <c r="B63" s="4"/>
      <c r="C63" s="24"/>
      <c r="D63" s="24"/>
      <c r="E63" s="24"/>
      <c r="F63" s="24"/>
      <c r="G63" s="24"/>
      <c r="H63" s="32"/>
      <c r="I63" s="32"/>
      <c r="J63" s="32"/>
      <c r="K63" s="24"/>
      <c r="L63" s="32"/>
      <c r="M63" s="32"/>
      <c r="N63" s="59"/>
      <c r="O63" s="60"/>
      <c r="P63" s="60"/>
      <c r="Q63" s="60"/>
      <c r="R63" s="60"/>
      <c r="S63" s="60"/>
      <c r="T63" s="60"/>
      <c r="U63" s="60"/>
      <c r="V63" s="77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24"/>
      <c r="BE63" s="31"/>
      <c r="BF63" s="24"/>
      <c r="BG63" s="31"/>
      <c r="BH63" s="34"/>
      <c r="BI63" s="34"/>
      <c r="BJ63" s="34"/>
      <c r="BK63" s="34"/>
      <c r="BL63" s="34"/>
      <c r="BM63" s="34"/>
      <c r="BN63" s="163"/>
      <c r="BO63" s="34"/>
      <c r="BP63" s="24"/>
      <c r="BW63" s="8"/>
      <c r="BY63" s="5"/>
      <c r="CF63" s="8"/>
      <c r="CH63" s="5"/>
    </row>
    <row r="64" s="1" customFormat="1" spans="1:86">
      <c r="A64" s="4"/>
      <c r="B64" s="4"/>
      <c r="C64" s="24"/>
      <c r="D64" s="24"/>
      <c r="E64" s="24"/>
      <c r="F64" s="24"/>
      <c r="G64" s="24"/>
      <c r="H64" s="32"/>
      <c r="I64" s="32"/>
      <c r="J64" s="32"/>
      <c r="K64" s="24"/>
      <c r="L64" s="32"/>
      <c r="M64" s="32"/>
      <c r="N64" s="59"/>
      <c r="O64" s="34"/>
      <c r="P64" s="34"/>
      <c r="Q64" s="34"/>
      <c r="R64" s="34"/>
      <c r="S64" s="34"/>
      <c r="T64" s="34"/>
      <c r="U64" s="3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24"/>
      <c r="BE64" s="31"/>
      <c r="BF64" s="24"/>
      <c r="BG64" s="31"/>
      <c r="BH64" s="34"/>
      <c r="BI64" s="34"/>
      <c r="BJ64" s="34"/>
      <c r="BK64" s="34"/>
      <c r="BL64" s="34"/>
      <c r="BM64" s="34"/>
      <c r="BN64" s="163"/>
      <c r="BO64" s="34"/>
      <c r="BP64" s="24"/>
      <c r="BW64" s="8"/>
      <c r="BY64" s="5"/>
      <c r="CF64" s="8"/>
      <c r="CH64" s="5"/>
    </row>
    <row r="65" s="1" customFormat="1" spans="1:86">
      <c r="A65" s="4"/>
      <c r="B65" s="4"/>
      <c r="C65" s="24"/>
      <c r="D65" s="24"/>
      <c r="E65" s="24"/>
      <c r="F65" s="24"/>
      <c r="G65" s="24"/>
      <c r="H65" s="32"/>
      <c r="I65" s="32"/>
      <c r="J65" s="32"/>
      <c r="K65" s="24"/>
      <c r="L65" s="32"/>
      <c r="M65" s="32"/>
      <c r="N65" s="59"/>
      <c r="O65" s="34"/>
      <c r="P65" s="34"/>
      <c r="Q65" s="34"/>
      <c r="R65" s="34"/>
      <c r="S65" s="34"/>
      <c r="T65" s="34"/>
      <c r="U65" s="3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24"/>
      <c r="BE65" s="31"/>
      <c r="BF65" s="24"/>
      <c r="BG65" s="31"/>
      <c r="BH65" s="34"/>
      <c r="BI65" s="34"/>
      <c r="BJ65" s="34"/>
      <c r="BK65" s="34"/>
      <c r="BL65" s="34"/>
      <c r="BM65" s="34"/>
      <c r="BN65" s="163"/>
      <c r="BO65" s="34"/>
      <c r="BP65" s="24"/>
      <c r="BW65" s="8"/>
      <c r="BY65" s="5"/>
      <c r="CF65" s="8"/>
      <c r="CH65" s="5"/>
    </row>
    <row r="66" s="1" customFormat="1" spans="1:86">
      <c r="A66" s="4"/>
      <c r="B66" s="4"/>
      <c r="C66" s="24"/>
      <c r="D66" s="24"/>
      <c r="E66" s="24"/>
      <c r="F66" s="24"/>
      <c r="G66" s="24"/>
      <c r="H66" s="32"/>
      <c r="I66" s="32"/>
      <c r="J66" s="32"/>
      <c r="K66" s="24"/>
      <c r="L66" s="32"/>
      <c r="M66" s="32"/>
      <c r="N66" s="59"/>
      <c r="O66" s="34"/>
      <c r="P66" s="34"/>
      <c r="Q66" s="34"/>
      <c r="R66" s="34"/>
      <c r="S66" s="34"/>
      <c r="T66" s="34"/>
      <c r="U66" s="3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24"/>
      <c r="BE66" s="31"/>
      <c r="BF66" s="24"/>
      <c r="BG66" s="31"/>
      <c r="BH66" s="34"/>
      <c r="BI66" s="34"/>
      <c r="BJ66" s="34"/>
      <c r="BK66" s="34"/>
      <c r="BL66" s="34"/>
      <c r="BM66" s="34"/>
      <c r="BN66" s="163"/>
      <c r="BO66" s="34"/>
      <c r="BP66" s="24"/>
      <c r="BW66" s="8"/>
      <c r="BY66" s="5"/>
      <c r="CF66" s="8"/>
      <c r="CH66" s="5"/>
    </row>
    <row r="67" s="1" customFormat="1" spans="1:86">
      <c r="A67" s="4"/>
      <c r="B67" s="4"/>
      <c r="C67" s="24"/>
      <c r="D67" s="24"/>
      <c r="E67" s="24"/>
      <c r="F67" s="24"/>
      <c r="G67" s="24"/>
      <c r="H67" s="32"/>
      <c r="I67" s="32"/>
      <c r="J67" s="32"/>
      <c r="K67" s="24"/>
      <c r="L67" s="32"/>
      <c r="M67" s="32"/>
      <c r="N67" s="59"/>
      <c r="O67" s="34"/>
      <c r="P67" s="34"/>
      <c r="Q67" s="34"/>
      <c r="R67" s="34"/>
      <c r="S67" s="34"/>
      <c r="T67" s="34"/>
      <c r="U67" s="3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24"/>
      <c r="BE67" s="31"/>
      <c r="BF67" s="24"/>
      <c r="BG67" s="31"/>
      <c r="BH67" s="34"/>
      <c r="BI67" s="34"/>
      <c r="BJ67" s="34"/>
      <c r="BK67" s="34"/>
      <c r="BL67" s="34"/>
      <c r="BM67" s="34"/>
      <c r="BN67" s="163"/>
      <c r="BO67" s="34"/>
      <c r="BP67" s="24"/>
      <c r="BW67" s="8"/>
      <c r="BY67" s="5"/>
      <c r="CF67" s="8"/>
      <c r="CH67" s="5"/>
    </row>
    <row r="68" s="1" customFormat="1" spans="1:86">
      <c r="A68" s="4"/>
      <c r="B68" s="4"/>
      <c r="C68" s="24"/>
      <c r="D68" s="24"/>
      <c r="E68" s="24"/>
      <c r="F68" s="24"/>
      <c r="G68" s="24"/>
      <c r="H68" s="32"/>
      <c r="I68" s="32"/>
      <c r="J68" s="32"/>
      <c r="K68" s="24"/>
      <c r="L68" s="32"/>
      <c r="M68" s="32"/>
      <c r="N68" s="59"/>
      <c r="O68" s="34"/>
      <c r="P68" s="34"/>
      <c r="Q68" s="34"/>
      <c r="R68" s="34"/>
      <c r="S68" s="34"/>
      <c r="T68" s="34"/>
      <c r="U68" s="3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24"/>
      <c r="BE68" s="31"/>
      <c r="BF68" s="24"/>
      <c r="BG68" s="31"/>
      <c r="BH68" s="34"/>
      <c r="BI68" s="34"/>
      <c r="BJ68" s="34"/>
      <c r="BK68" s="34"/>
      <c r="BL68" s="34"/>
      <c r="BM68" s="34"/>
      <c r="BN68" s="163"/>
      <c r="BO68" s="34"/>
      <c r="BP68" s="24"/>
      <c r="BW68" s="8"/>
      <c r="BY68" s="5"/>
      <c r="CF68" s="8"/>
      <c r="CH68" s="5"/>
    </row>
    <row r="69" s="1" customFormat="1" spans="1:86">
      <c r="A69" s="4"/>
      <c r="B69" s="4"/>
      <c r="C69" s="24"/>
      <c r="D69" s="24"/>
      <c r="E69" s="24"/>
      <c r="F69" s="24"/>
      <c r="G69" s="24"/>
      <c r="H69" s="32"/>
      <c r="I69" s="32"/>
      <c r="J69" s="32"/>
      <c r="K69" s="24"/>
      <c r="L69" s="32"/>
      <c r="M69" s="32"/>
      <c r="N69" s="59"/>
      <c r="O69" s="34"/>
      <c r="P69" s="34"/>
      <c r="Q69" s="34"/>
      <c r="R69" s="34"/>
      <c r="S69" s="34"/>
      <c r="T69" s="34"/>
      <c r="U69" s="3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24"/>
      <c r="BE69" s="31"/>
      <c r="BF69" s="24"/>
      <c r="BG69" s="31"/>
      <c r="BH69" s="34"/>
      <c r="BI69" s="34"/>
      <c r="BJ69" s="34"/>
      <c r="BK69" s="34"/>
      <c r="BL69" s="34"/>
      <c r="BM69" s="34"/>
      <c r="BN69" s="163"/>
      <c r="BO69" s="34"/>
      <c r="BP69" s="24"/>
      <c r="BW69" s="8"/>
      <c r="BY69" s="5"/>
      <c r="CF69" s="8"/>
      <c r="CH69" s="5"/>
    </row>
    <row r="70" s="1" customFormat="1" spans="1:86">
      <c r="A70" s="4"/>
      <c r="B70" s="4"/>
      <c r="C70" s="24"/>
      <c r="D70" s="24"/>
      <c r="E70" s="24"/>
      <c r="F70" s="24"/>
      <c r="G70" s="24"/>
      <c r="H70" s="32"/>
      <c r="I70" s="32"/>
      <c r="J70" s="32"/>
      <c r="K70" s="24"/>
      <c r="L70" s="32"/>
      <c r="M70" s="32"/>
      <c r="N70" s="59"/>
      <c r="O70" s="34"/>
      <c r="P70" s="34"/>
      <c r="Q70" s="34"/>
      <c r="R70" s="34"/>
      <c r="S70" s="34"/>
      <c r="T70" s="34"/>
      <c r="U70" s="3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24"/>
      <c r="BE70" s="31"/>
      <c r="BF70" s="24"/>
      <c r="BG70" s="31"/>
      <c r="BH70" s="34"/>
      <c r="BI70" s="34"/>
      <c r="BJ70" s="34"/>
      <c r="BK70" s="34"/>
      <c r="BL70" s="34"/>
      <c r="BM70" s="34"/>
      <c r="BN70" s="163"/>
      <c r="BO70" s="34"/>
      <c r="BP70" s="24"/>
      <c r="BW70" s="8"/>
      <c r="BY70" s="5"/>
      <c r="CF70" s="8"/>
      <c r="CH70" s="5"/>
    </row>
    <row r="71" s="1" customFormat="1" spans="1:86">
      <c r="A71" s="4"/>
      <c r="B71" s="4"/>
      <c r="C71" s="24"/>
      <c r="D71" s="24"/>
      <c r="E71" s="24"/>
      <c r="F71" s="24"/>
      <c r="G71" s="24"/>
      <c r="H71" s="32"/>
      <c r="I71" s="32"/>
      <c r="J71" s="32"/>
      <c r="K71" s="24"/>
      <c r="L71" s="32"/>
      <c r="M71" s="32"/>
      <c r="N71" s="59"/>
      <c r="O71" s="34"/>
      <c r="P71" s="34"/>
      <c r="Q71" s="34"/>
      <c r="R71" s="34"/>
      <c r="S71" s="34"/>
      <c r="T71" s="34"/>
      <c r="U71" s="3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24"/>
      <c r="BE71" s="31"/>
      <c r="BF71" s="24"/>
      <c r="BG71" s="31"/>
      <c r="BH71" s="34"/>
      <c r="BI71" s="34"/>
      <c r="BJ71" s="34"/>
      <c r="BK71" s="34"/>
      <c r="BL71" s="34"/>
      <c r="BM71" s="34"/>
      <c r="BN71" s="163"/>
      <c r="BO71" s="34"/>
      <c r="BP71" s="24"/>
      <c r="BW71" s="8"/>
      <c r="BY71" s="5"/>
      <c r="CF71" s="8"/>
      <c r="CH71" s="5"/>
    </row>
    <row r="72" s="1" customFormat="1" spans="1:86">
      <c r="A72" s="4"/>
      <c r="B72" s="4"/>
      <c r="C72" s="24"/>
      <c r="D72" s="24"/>
      <c r="E72" s="24"/>
      <c r="F72" s="24"/>
      <c r="G72" s="24"/>
      <c r="H72" s="32"/>
      <c r="I72" s="32"/>
      <c r="J72" s="32"/>
      <c r="K72" s="24"/>
      <c r="L72" s="32"/>
      <c r="M72" s="32"/>
      <c r="N72" s="59"/>
      <c r="O72" s="34"/>
      <c r="P72" s="34"/>
      <c r="Q72" s="34"/>
      <c r="R72" s="34"/>
      <c r="S72" s="34"/>
      <c r="T72" s="34"/>
      <c r="U72" s="3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24"/>
      <c r="BE72" s="31"/>
      <c r="BF72" s="24"/>
      <c r="BG72" s="31"/>
      <c r="BH72" s="34"/>
      <c r="BI72" s="34"/>
      <c r="BJ72" s="34"/>
      <c r="BK72" s="34"/>
      <c r="BL72" s="34"/>
      <c r="BM72" s="34"/>
      <c r="BN72" s="163"/>
      <c r="BO72" s="34"/>
      <c r="BP72" s="24"/>
      <c r="BW72" s="8"/>
      <c r="BY72" s="5"/>
      <c r="CF72" s="8"/>
      <c r="CH72" s="5"/>
    </row>
    <row r="73" s="1" customFormat="1" spans="1:86">
      <c r="A73" s="4"/>
      <c r="B73" s="4"/>
      <c r="C73" s="24"/>
      <c r="D73" s="24"/>
      <c r="E73" s="24"/>
      <c r="F73" s="24"/>
      <c r="G73" s="24"/>
      <c r="H73" s="32"/>
      <c r="I73" s="32"/>
      <c r="J73" s="32"/>
      <c r="K73" s="24"/>
      <c r="L73" s="32"/>
      <c r="M73" s="32"/>
      <c r="N73" s="59"/>
      <c r="O73" s="60"/>
      <c r="P73" s="60"/>
      <c r="Q73" s="60"/>
      <c r="R73" s="60"/>
      <c r="S73" s="60"/>
      <c r="T73" s="60"/>
      <c r="U73" s="60"/>
      <c r="V73" s="60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24"/>
      <c r="BE73" s="31"/>
      <c r="BF73" s="24"/>
      <c r="BG73" s="31"/>
      <c r="BH73" s="34"/>
      <c r="BI73" s="34"/>
      <c r="BJ73" s="34"/>
      <c r="BK73" s="34"/>
      <c r="BL73" s="34"/>
      <c r="BM73" s="34"/>
      <c r="BN73" s="163"/>
      <c r="BO73" s="34"/>
      <c r="BP73" s="24"/>
      <c r="BW73" s="8"/>
      <c r="BY73" s="5"/>
      <c r="CF73" s="8"/>
      <c r="CH73" s="5"/>
    </row>
    <row r="74" s="1" customFormat="1" spans="1:86">
      <c r="A74" s="4"/>
      <c r="B74" s="4"/>
      <c r="C74" s="24"/>
      <c r="D74" s="24"/>
      <c r="E74" s="24"/>
      <c r="F74" s="24"/>
      <c r="G74" s="24"/>
      <c r="H74" s="32"/>
      <c r="I74" s="32"/>
      <c r="J74" s="32"/>
      <c r="K74" s="24"/>
      <c r="L74" s="32"/>
      <c r="M74" s="32"/>
      <c r="N74" s="59"/>
      <c r="O74" s="60"/>
      <c r="P74" s="60"/>
      <c r="Q74" s="60"/>
      <c r="R74" s="60"/>
      <c r="S74" s="60"/>
      <c r="T74" s="60"/>
      <c r="U74" s="60"/>
      <c r="V74" s="60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24"/>
      <c r="BE74" s="31"/>
      <c r="BF74" s="24"/>
      <c r="BG74" s="31"/>
      <c r="BH74" s="34"/>
      <c r="BI74" s="34"/>
      <c r="BJ74" s="34"/>
      <c r="BK74" s="34"/>
      <c r="BL74" s="34"/>
      <c r="BM74" s="34"/>
      <c r="BN74" s="163"/>
      <c r="BO74" s="34"/>
      <c r="BP74" s="24"/>
      <c r="BW74" s="8"/>
      <c r="BY74" s="5"/>
      <c r="CF74" s="8"/>
      <c r="CH74" s="5"/>
    </row>
    <row r="75" s="1" customFormat="1" spans="1:86">
      <c r="A75" s="4"/>
      <c r="B75" s="4"/>
      <c r="C75" s="24"/>
      <c r="D75" s="24"/>
      <c r="E75" s="24"/>
      <c r="F75" s="24"/>
      <c r="G75" s="24"/>
      <c r="H75" s="32"/>
      <c r="I75" s="32"/>
      <c r="J75" s="32"/>
      <c r="K75" s="24"/>
      <c r="L75" s="32"/>
      <c r="M75" s="32"/>
      <c r="N75" s="59"/>
      <c r="O75" s="60"/>
      <c r="P75" s="60"/>
      <c r="Q75" s="60"/>
      <c r="R75" s="60"/>
      <c r="S75" s="60"/>
      <c r="T75" s="60"/>
      <c r="U75" s="60"/>
      <c r="V75" s="60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24"/>
      <c r="BE75" s="31"/>
      <c r="BF75" s="24"/>
      <c r="BG75" s="31"/>
      <c r="BH75" s="34"/>
      <c r="BI75" s="34"/>
      <c r="BJ75" s="34"/>
      <c r="BK75" s="34"/>
      <c r="BL75" s="34"/>
      <c r="BM75" s="34"/>
      <c r="BN75" s="163"/>
      <c r="BO75" s="34"/>
      <c r="BP75" s="24"/>
      <c r="BW75" s="8"/>
      <c r="BY75" s="5"/>
      <c r="CF75" s="8"/>
      <c r="CH75" s="5"/>
    </row>
    <row r="76" s="1" customFormat="1" spans="1:86">
      <c r="A76" s="4"/>
      <c r="B76" s="4"/>
      <c r="C76" s="24"/>
      <c r="D76" s="24"/>
      <c r="E76" s="24"/>
      <c r="F76" s="24"/>
      <c r="G76" s="24"/>
      <c r="H76" s="32"/>
      <c r="I76" s="32"/>
      <c r="J76" s="32"/>
      <c r="K76" s="24"/>
      <c r="L76" s="32"/>
      <c r="M76" s="32"/>
      <c r="N76" s="59"/>
      <c r="O76" s="60"/>
      <c r="P76" s="60"/>
      <c r="Q76" s="60"/>
      <c r="R76" s="60"/>
      <c r="S76" s="60"/>
      <c r="T76" s="60"/>
      <c r="U76" s="60"/>
      <c r="V76" s="60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24"/>
      <c r="BE76" s="31"/>
      <c r="BF76" s="24"/>
      <c r="BG76" s="31"/>
      <c r="BH76" s="34"/>
      <c r="BI76" s="34"/>
      <c r="BJ76" s="34"/>
      <c r="BK76" s="34"/>
      <c r="BL76" s="34"/>
      <c r="BM76" s="34"/>
      <c r="BN76" s="163"/>
      <c r="BO76" s="34"/>
      <c r="BP76" s="24"/>
      <c r="BW76" s="8"/>
      <c r="BY76" s="5"/>
      <c r="CF76" s="8"/>
      <c r="CH76" s="5"/>
    </row>
    <row r="77" s="1" customFormat="1" spans="1:86">
      <c r="A77" s="4"/>
      <c r="B77" s="4"/>
      <c r="C77" s="24"/>
      <c r="D77" s="24"/>
      <c r="E77" s="24"/>
      <c r="F77" s="24"/>
      <c r="G77" s="24"/>
      <c r="H77" s="32"/>
      <c r="I77" s="32"/>
      <c r="J77" s="32"/>
      <c r="K77" s="24"/>
      <c r="L77" s="32"/>
      <c r="M77" s="32"/>
      <c r="N77" s="59"/>
      <c r="O77" s="60"/>
      <c r="P77" s="60"/>
      <c r="Q77" s="60"/>
      <c r="R77" s="60"/>
      <c r="S77" s="60"/>
      <c r="T77" s="60"/>
      <c r="U77" s="60"/>
      <c r="V77" s="77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24"/>
      <c r="BE77" s="31"/>
      <c r="BF77" s="24"/>
      <c r="BG77" s="31"/>
      <c r="BH77" s="34"/>
      <c r="BI77" s="34"/>
      <c r="BJ77" s="34"/>
      <c r="BK77" s="34"/>
      <c r="BL77" s="34"/>
      <c r="BM77" s="34"/>
      <c r="BN77" s="163"/>
      <c r="BO77" s="34"/>
      <c r="BP77" s="24"/>
      <c r="BW77" s="8"/>
      <c r="BY77" s="5"/>
      <c r="CF77" s="8"/>
      <c r="CH77" s="5"/>
    </row>
    <row r="78" s="1" customFormat="1" spans="1:86">
      <c r="A78" s="4"/>
      <c r="B78" s="4"/>
      <c r="C78" s="24"/>
      <c r="D78" s="24"/>
      <c r="E78" s="24"/>
      <c r="F78" s="24"/>
      <c r="G78" s="24"/>
      <c r="H78" s="32"/>
      <c r="I78" s="32"/>
      <c r="J78" s="32"/>
      <c r="K78" s="24"/>
      <c r="L78" s="32"/>
      <c r="M78" s="32"/>
      <c r="N78" s="59"/>
      <c r="O78" s="60"/>
      <c r="P78" s="60"/>
      <c r="Q78" s="60"/>
      <c r="R78" s="60"/>
      <c r="S78" s="60"/>
      <c r="T78" s="60"/>
      <c r="U78" s="60"/>
      <c r="V78" s="77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24"/>
      <c r="BE78" s="31"/>
      <c r="BF78" s="24"/>
      <c r="BG78" s="31"/>
      <c r="BH78" s="34"/>
      <c r="BI78" s="34"/>
      <c r="BJ78" s="34"/>
      <c r="BK78" s="34"/>
      <c r="BL78" s="34"/>
      <c r="BM78" s="34"/>
      <c r="BN78" s="163"/>
      <c r="BO78" s="34"/>
      <c r="BP78" s="24"/>
      <c r="BW78" s="8"/>
      <c r="BY78" s="5"/>
      <c r="CF78" s="8"/>
      <c r="CH78" s="5"/>
    </row>
    <row r="79" s="1" customFormat="1" spans="1:86">
      <c r="A79" s="4"/>
      <c r="B79" s="4"/>
      <c r="C79" s="24"/>
      <c r="D79" s="24"/>
      <c r="E79" s="24"/>
      <c r="F79" s="24"/>
      <c r="G79" s="24"/>
      <c r="H79" s="32"/>
      <c r="I79" s="32"/>
      <c r="J79" s="32"/>
      <c r="K79" s="24"/>
      <c r="L79" s="32"/>
      <c r="M79" s="32"/>
      <c r="N79" s="59"/>
      <c r="O79" s="60"/>
      <c r="P79" s="60"/>
      <c r="Q79" s="60"/>
      <c r="R79" s="60"/>
      <c r="S79" s="60"/>
      <c r="T79" s="60"/>
      <c r="U79" s="60"/>
      <c r="V79" s="77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24"/>
      <c r="BE79" s="31"/>
      <c r="BF79" s="24"/>
      <c r="BG79" s="31"/>
      <c r="BH79" s="34"/>
      <c r="BI79" s="34"/>
      <c r="BJ79" s="34"/>
      <c r="BK79" s="34"/>
      <c r="BL79" s="34"/>
      <c r="BM79" s="34"/>
      <c r="BN79" s="163"/>
      <c r="BO79" s="34"/>
      <c r="BP79" s="24"/>
      <c r="BW79" s="8"/>
      <c r="BY79" s="5"/>
      <c r="CF79" s="8"/>
      <c r="CH79" s="5"/>
    </row>
    <row r="80" s="1" customFormat="1" spans="1:86">
      <c r="A80" s="4"/>
      <c r="B80" s="4"/>
      <c r="C80" s="24"/>
      <c r="D80" s="24"/>
      <c r="E80" s="24"/>
      <c r="F80" s="24"/>
      <c r="G80" s="24"/>
      <c r="H80" s="32"/>
      <c r="I80" s="32"/>
      <c r="J80" s="32"/>
      <c r="K80" s="24"/>
      <c r="L80" s="32"/>
      <c r="M80" s="32"/>
      <c r="N80" s="57"/>
      <c r="O80" s="60"/>
      <c r="P80" s="60"/>
      <c r="Q80" s="60"/>
      <c r="R80" s="60"/>
      <c r="S80" s="60"/>
      <c r="T80" s="60"/>
      <c r="U80" s="60"/>
      <c r="V80" s="77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24"/>
      <c r="BE80" s="31"/>
      <c r="BF80" s="24"/>
      <c r="BG80" s="31"/>
      <c r="BH80" s="34"/>
      <c r="BI80" s="34"/>
      <c r="BJ80" s="34"/>
      <c r="BK80" s="34"/>
      <c r="BL80" s="34"/>
      <c r="BM80" s="34"/>
      <c r="BN80" s="163"/>
      <c r="BO80" s="34"/>
      <c r="BP80" s="24"/>
      <c r="BW80" s="8"/>
      <c r="BY80" s="5"/>
      <c r="CF80" s="8"/>
      <c r="CH80" s="5"/>
    </row>
    <row r="81" s="1" customFormat="1" spans="1:86">
      <c r="A81" s="4"/>
      <c r="B81" s="4"/>
      <c r="C81" s="24"/>
      <c r="D81" s="24"/>
      <c r="E81" s="24"/>
      <c r="F81" s="24"/>
      <c r="G81" s="24"/>
      <c r="H81" s="32"/>
      <c r="I81" s="32"/>
      <c r="J81" s="32"/>
      <c r="K81" s="24"/>
      <c r="L81" s="32"/>
      <c r="M81" s="32"/>
      <c r="N81" s="57"/>
      <c r="O81" s="60"/>
      <c r="P81" s="60"/>
      <c r="Q81" s="60"/>
      <c r="R81" s="60"/>
      <c r="S81" s="60"/>
      <c r="T81" s="60"/>
      <c r="U81" s="60"/>
      <c r="V81" s="77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24"/>
      <c r="BE81" s="31"/>
      <c r="BF81" s="24"/>
      <c r="BG81" s="31"/>
      <c r="BH81" s="34"/>
      <c r="BI81" s="34"/>
      <c r="BJ81" s="34"/>
      <c r="BK81" s="34"/>
      <c r="BL81" s="34"/>
      <c r="BM81" s="34"/>
      <c r="BN81" s="163"/>
      <c r="BO81" s="34"/>
      <c r="BP81" s="24"/>
      <c r="BW81" s="8"/>
      <c r="BY81" s="5"/>
      <c r="CF81" s="8"/>
      <c r="CH81" s="5"/>
    </row>
    <row r="82" s="1" customFormat="1" spans="1:86">
      <c r="A82" s="4"/>
      <c r="B82" s="4"/>
      <c r="C82" s="24"/>
      <c r="D82" s="24"/>
      <c r="E82" s="24"/>
      <c r="F82" s="24"/>
      <c r="G82" s="24"/>
      <c r="H82" s="32"/>
      <c r="I82" s="32"/>
      <c r="J82" s="32"/>
      <c r="K82" s="24"/>
      <c r="L82" s="32"/>
      <c r="M82" s="32"/>
      <c r="N82" s="57"/>
      <c r="O82" s="60"/>
      <c r="P82" s="60"/>
      <c r="Q82" s="60"/>
      <c r="R82" s="60"/>
      <c r="S82" s="60"/>
      <c r="T82" s="60"/>
      <c r="U82" s="60"/>
      <c r="V82" s="77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24"/>
      <c r="BE82" s="31"/>
      <c r="BF82" s="24"/>
      <c r="BG82" s="31"/>
      <c r="BH82" s="34"/>
      <c r="BI82" s="34"/>
      <c r="BJ82" s="34"/>
      <c r="BK82" s="34"/>
      <c r="BL82" s="34"/>
      <c r="BM82" s="34"/>
      <c r="BN82" s="163"/>
      <c r="BO82" s="34"/>
      <c r="BP82" s="24"/>
      <c r="BW82" s="8"/>
      <c r="BY82" s="5"/>
      <c r="CF82" s="8"/>
      <c r="CH82" s="5"/>
    </row>
    <row r="83" s="1" customFormat="1" spans="1:86">
      <c r="A83" s="4"/>
      <c r="B83" s="4"/>
      <c r="C83" s="24"/>
      <c r="D83" s="24"/>
      <c r="E83" s="24"/>
      <c r="F83" s="24"/>
      <c r="G83" s="24"/>
      <c r="H83" s="32"/>
      <c r="I83" s="32"/>
      <c r="J83" s="32"/>
      <c r="K83" s="24"/>
      <c r="L83" s="32"/>
      <c r="M83" s="32"/>
      <c r="N83" s="57"/>
      <c r="O83" s="60"/>
      <c r="P83" s="60"/>
      <c r="Q83" s="60"/>
      <c r="R83" s="60"/>
      <c r="S83" s="60"/>
      <c r="T83" s="60"/>
      <c r="U83" s="60"/>
      <c r="V83" s="77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24"/>
      <c r="BE83" s="31"/>
      <c r="BF83" s="24"/>
      <c r="BG83" s="31"/>
      <c r="BH83" s="34"/>
      <c r="BI83" s="34"/>
      <c r="BJ83" s="34"/>
      <c r="BK83" s="34"/>
      <c r="BL83" s="34"/>
      <c r="BM83" s="34"/>
      <c r="BN83" s="163"/>
      <c r="BO83" s="34"/>
      <c r="BP83" s="24"/>
      <c r="BW83" s="8"/>
      <c r="BY83" s="5"/>
      <c r="CF83" s="8"/>
      <c r="CH83" s="5"/>
    </row>
    <row r="84" s="1" customFormat="1" spans="1:86">
      <c r="A84" s="4"/>
      <c r="B84" s="4"/>
      <c r="C84" s="24"/>
      <c r="D84" s="24"/>
      <c r="E84" s="24"/>
      <c r="F84" s="24"/>
      <c r="G84" s="24"/>
      <c r="H84" s="32"/>
      <c r="I84" s="32"/>
      <c r="J84" s="32"/>
      <c r="K84" s="24"/>
      <c r="L84" s="32"/>
      <c r="M84" s="32"/>
      <c r="N84" s="57"/>
      <c r="O84" s="34"/>
      <c r="P84" s="34"/>
      <c r="Q84" s="34"/>
      <c r="R84" s="34"/>
      <c r="S84" s="34"/>
      <c r="T84" s="34"/>
      <c r="U84" s="3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24"/>
      <c r="BE84" s="31"/>
      <c r="BF84" s="24"/>
      <c r="BG84" s="31"/>
      <c r="BH84" s="34"/>
      <c r="BI84" s="34"/>
      <c r="BJ84" s="34"/>
      <c r="BK84" s="34"/>
      <c r="BL84" s="34"/>
      <c r="BM84" s="34"/>
      <c r="BN84" s="163"/>
      <c r="BO84" s="34"/>
      <c r="BP84" s="24"/>
      <c r="BW84" s="8"/>
      <c r="BY84" s="5"/>
      <c r="CF84" s="8"/>
      <c r="CH84" s="5"/>
    </row>
    <row r="85" s="1" customFormat="1" spans="1:86">
      <c r="A85" s="4"/>
      <c r="B85" s="4"/>
      <c r="C85" s="24"/>
      <c r="D85" s="24"/>
      <c r="E85" s="24"/>
      <c r="F85" s="24"/>
      <c r="G85" s="24"/>
      <c r="H85" s="32"/>
      <c r="I85" s="32"/>
      <c r="J85" s="32"/>
      <c r="K85" s="24"/>
      <c r="L85" s="32"/>
      <c r="M85" s="32"/>
      <c r="N85" s="57"/>
      <c r="O85" s="34"/>
      <c r="P85" s="34"/>
      <c r="Q85" s="34"/>
      <c r="R85" s="34"/>
      <c r="S85" s="34"/>
      <c r="T85" s="34"/>
      <c r="U85" s="3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24"/>
      <c r="BE85" s="31"/>
      <c r="BF85" s="24"/>
      <c r="BG85" s="31"/>
      <c r="BH85" s="34"/>
      <c r="BI85" s="34"/>
      <c r="BJ85" s="34"/>
      <c r="BK85" s="34"/>
      <c r="BL85" s="34"/>
      <c r="BM85" s="34"/>
      <c r="BN85" s="163"/>
      <c r="BO85" s="34"/>
      <c r="BP85" s="24"/>
      <c r="BW85" s="8"/>
      <c r="BY85" s="5"/>
      <c r="CF85" s="8"/>
      <c r="CH85" s="5"/>
    </row>
    <row r="86" s="1" customFormat="1" spans="1:86">
      <c r="A86" s="4"/>
      <c r="B86" s="4"/>
      <c r="C86" s="24"/>
      <c r="D86" s="24"/>
      <c r="E86" s="24"/>
      <c r="F86" s="24"/>
      <c r="G86" s="24"/>
      <c r="H86" s="32"/>
      <c r="I86" s="32"/>
      <c r="J86" s="32"/>
      <c r="K86" s="24"/>
      <c r="L86" s="32"/>
      <c r="M86" s="32"/>
      <c r="N86" s="57"/>
      <c r="O86" s="34"/>
      <c r="P86" s="34"/>
      <c r="Q86" s="34"/>
      <c r="R86" s="34"/>
      <c r="S86" s="34"/>
      <c r="T86" s="34"/>
      <c r="U86" s="3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24"/>
      <c r="BE86" s="31"/>
      <c r="BF86" s="24"/>
      <c r="BG86" s="31"/>
      <c r="BH86" s="34"/>
      <c r="BI86" s="34"/>
      <c r="BJ86" s="34"/>
      <c r="BK86" s="34"/>
      <c r="BL86" s="34"/>
      <c r="BM86" s="34"/>
      <c r="BN86" s="163"/>
      <c r="BO86" s="34"/>
      <c r="BP86" s="24"/>
      <c r="BW86" s="8"/>
      <c r="BY86" s="5"/>
      <c r="CF86" s="8"/>
      <c r="CH86" s="5"/>
    </row>
    <row r="87" s="1" customFormat="1" spans="1:86">
      <c r="A87" s="4"/>
      <c r="B87" s="4"/>
      <c r="C87" s="24"/>
      <c r="D87" s="24"/>
      <c r="E87" s="24"/>
      <c r="F87" s="24"/>
      <c r="G87" s="24"/>
      <c r="H87" s="32"/>
      <c r="I87" s="32"/>
      <c r="J87" s="32"/>
      <c r="K87" s="24"/>
      <c r="L87" s="32"/>
      <c r="M87" s="32"/>
      <c r="N87" s="57"/>
      <c r="O87" s="34"/>
      <c r="P87" s="34"/>
      <c r="Q87" s="34"/>
      <c r="R87" s="34"/>
      <c r="S87" s="34"/>
      <c r="T87" s="34"/>
      <c r="U87" s="3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24"/>
      <c r="BE87" s="31"/>
      <c r="BF87" s="24"/>
      <c r="BG87" s="31"/>
      <c r="BH87" s="34"/>
      <c r="BI87" s="34"/>
      <c r="BJ87" s="34"/>
      <c r="BK87" s="34"/>
      <c r="BL87" s="34"/>
      <c r="BM87" s="34"/>
      <c r="BN87" s="163"/>
      <c r="BO87" s="34"/>
      <c r="BP87" s="24"/>
      <c r="BW87" s="8"/>
      <c r="BY87" s="5"/>
      <c r="CF87" s="8"/>
      <c r="CH87" s="5"/>
    </row>
    <row r="88" s="1" customFormat="1" spans="1:86">
      <c r="A88" s="4"/>
      <c r="B88" s="4"/>
      <c r="C88" s="24"/>
      <c r="D88" s="24"/>
      <c r="E88" s="24"/>
      <c r="F88" s="24"/>
      <c r="G88" s="24"/>
      <c r="H88" s="32"/>
      <c r="I88" s="32"/>
      <c r="J88" s="32"/>
      <c r="K88" s="24"/>
      <c r="L88" s="32"/>
      <c r="M88" s="32"/>
      <c r="N88" s="57"/>
      <c r="O88" s="34"/>
      <c r="P88" s="34"/>
      <c r="Q88" s="34"/>
      <c r="R88" s="34"/>
      <c r="S88" s="34"/>
      <c r="T88" s="34"/>
      <c r="U88" s="3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24"/>
      <c r="BE88" s="31"/>
      <c r="BF88" s="24"/>
      <c r="BG88" s="31"/>
      <c r="BH88" s="34"/>
      <c r="BI88" s="34"/>
      <c r="BJ88" s="34"/>
      <c r="BK88" s="34"/>
      <c r="BL88" s="34"/>
      <c r="BM88" s="34"/>
      <c r="BN88" s="163"/>
      <c r="BO88" s="34"/>
      <c r="BP88" s="24"/>
      <c r="BW88" s="8"/>
      <c r="BY88" s="5"/>
      <c r="CF88" s="8"/>
      <c r="CH88" s="5"/>
    </row>
    <row r="89" s="1" customFormat="1" spans="1:86">
      <c r="A89" s="4"/>
      <c r="B89" s="4"/>
      <c r="C89" s="24"/>
      <c r="D89" s="24"/>
      <c r="E89" s="24"/>
      <c r="F89" s="24"/>
      <c r="G89" s="24"/>
      <c r="H89" s="32"/>
      <c r="I89" s="32"/>
      <c r="J89" s="32"/>
      <c r="K89" s="24"/>
      <c r="L89" s="32"/>
      <c r="M89" s="32"/>
      <c r="N89" s="57"/>
      <c r="O89" s="34"/>
      <c r="P89" s="34"/>
      <c r="Q89" s="34"/>
      <c r="R89" s="34"/>
      <c r="S89" s="34"/>
      <c r="T89" s="34"/>
      <c r="U89" s="3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24"/>
      <c r="BE89" s="31"/>
      <c r="BF89" s="24"/>
      <c r="BG89" s="31"/>
      <c r="BH89" s="34"/>
      <c r="BI89" s="34"/>
      <c r="BJ89" s="34"/>
      <c r="BK89" s="34"/>
      <c r="BL89" s="34"/>
      <c r="BM89" s="34"/>
      <c r="BN89" s="163"/>
      <c r="BO89" s="34"/>
      <c r="BP89" s="24"/>
      <c r="BW89" s="8"/>
      <c r="BY89" s="5"/>
      <c r="CF89" s="8"/>
      <c r="CH89" s="5"/>
    </row>
    <row r="90" s="1" customFormat="1" spans="1:86">
      <c r="A90" s="4"/>
      <c r="B90" s="4"/>
      <c r="C90" s="24"/>
      <c r="D90" s="24"/>
      <c r="E90" s="24"/>
      <c r="F90" s="24"/>
      <c r="G90" s="24"/>
      <c r="H90" s="32"/>
      <c r="I90" s="32"/>
      <c r="J90" s="32"/>
      <c r="K90" s="24"/>
      <c r="L90" s="32"/>
      <c r="M90" s="32"/>
      <c r="N90" s="57"/>
      <c r="O90" s="34"/>
      <c r="P90" s="34"/>
      <c r="Q90" s="34"/>
      <c r="R90" s="34"/>
      <c r="S90" s="34"/>
      <c r="T90" s="34"/>
      <c r="U90" s="3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24"/>
      <c r="BE90" s="31"/>
      <c r="BF90" s="24"/>
      <c r="BG90" s="31"/>
      <c r="BH90" s="34"/>
      <c r="BI90" s="34"/>
      <c r="BJ90" s="34"/>
      <c r="BK90" s="34"/>
      <c r="BL90" s="34"/>
      <c r="BM90" s="34"/>
      <c r="BN90" s="163"/>
      <c r="BO90" s="34"/>
      <c r="BP90" s="24"/>
      <c r="BW90" s="8"/>
      <c r="BY90" s="5"/>
      <c r="CF90" s="8"/>
      <c r="CH90" s="5"/>
    </row>
    <row r="91" s="1" customFormat="1" spans="1:86">
      <c r="A91" s="4"/>
      <c r="B91" s="4"/>
      <c r="C91" s="24"/>
      <c r="D91" s="24"/>
      <c r="E91" s="24"/>
      <c r="F91" s="24"/>
      <c r="G91" s="24"/>
      <c r="H91" s="32"/>
      <c r="I91" s="32"/>
      <c r="J91" s="32"/>
      <c r="K91" s="24"/>
      <c r="L91" s="32"/>
      <c r="M91" s="32"/>
      <c r="N91" s="57"/>
      <c r="O91" s="34"/>
      <c r="P91" s="34"/>
      <c r="Q91" s="34"/>
      <c r="R91" s="34"/>
      <c r="S91" s="34"/>
      <c r="T91" s="34"/>
      <c r="U91" s="3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24"/>
      <c r="BE91" s="31"/>
      <c r="BF91" s="24"/>
      <c r="BG91" s="31"/>
      <c r="BH91" s="34"/>
      <c r="BI91" s="34"/>
      <c r="BJ91" s="34"/>
      <c r="BK91" s="34"/>
      <c r="BL91" s="34"/>
      <c r="BM91" s="34"/>
      <c r="BN91" s="163"/>
      <c r="BO91" s="34"/>
      <c r="BP91" s="24"/>
      <c r="BW91" s="8"/>
      <c r="BY91" s="5"/>
      <c r="CF91" s="8"/>
      <c r="CH91" s="5"/>
    </row>
    <row r="92" s="1" customFormat="1" spans="1:86">
      <c r="A92" s="4"/>
      <c r="B92" s="4"/>
      <c r="C92" s="24"/>
      <c r="D92" s="24"/>
      <c r="E92" s="24"/>
      <c r="F92" s="24"/>
      <c r="G92" s="24"/>
      <c r="H92" s="32"/>
      <c r="I92" s="32"/>
      <c r="J92" s="32"/>
      <c r="K92" s="24"/>
      <c r="L92" s="32"/>
      <c r="M92" s="32"/>
      <c r="N92" s="57"/>
      <c r="O92" s="34"/>
      <c r="P92" s="34"/>
      <c r="Q92" s="34"/>
      <c r="R92" s="34"/>
      <c r="S92" s="34"/>
      <c r="T92" s="34"/>
      <c r="U92" s="3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24"/>
      <c r="BE92" s="31"/>
      <c r="BF92" s="24"/>
      <c r="BG92" s="31"/>
      <c r="BH92" s="34"/>
      <c r="BI92" s="34"/>
      <c r="BJ92" s="34"/>
      <c r="BK92" s="34"/>
      <c r="BL92" s="34"/>
      <c r="BM92" s="34"/>
      <c r="BN92" s="163"/>
      <c r="BO92" s="34"/>
      <c r="BP92" s="24"/>
      <c r="BW92" s="8"/>
      <c r="BY92" s="5"/>
      <c r="CF92" s="8"/>
      <c r="CH92" s="5"/>
    </row>
    <row r="93" s="1" customFormat="1" spans="1:86">
      <c r="A93" s="4"/>
      <c r="B93" s="4"/>
      <c r="C93" s="24"/>
      <c r="D93" s="24"/>
      <c r="E93" s="24"/>
      <c r="F93" s="24"/>
      <c r="G93" s="24"/>
      <c r="H93" s="32"/>
      <c r="I93" s="32"/>
      <c r="J93" s="32"/>
      <c r="K93" s="24"/>
      <c r="L93" s="32"/>
      <c r="M93" s="32"/>
      <c r="N93" s="57"/>
      <c r="O93" s="34"/>
      <c r="P93" s="34"/>
      <c r="Q93" s="34"/>
      <c r="R93" s="34"/>
      <c r="S93" s="34"/>
      <c r="T93" s="34"/>
      <c r="U93" s="3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24"/>
      <c r="BE93" s="31"/>
      <c r="BF93" s="24"/>
      <c r="BG93" s="31"/>
      <c r="BH93" s="34"/>
      <c r="BI93" s="34"/>
      <c r="BJ93" s="34"/>
      <c r="BK93" s="34"/>
      <c r="BL93" s="34"/>
      <c r="BM93" s="34"/>
      <c r="BN93" s="163"/>
      <c r="BO93" s="34"/>
      <c r="BP93" s="24"/>
      <c r="BW93" s="8"/>
      <c r="BY93" s="5"/>
      <c r="CF93" s="8"/>
      <c r="CH93" s="5"/>
    </row>
    <row r="94" s="1" customFormat="1" spans="1:86">
      <c r="A94" s="4"/>
      <c r="B94" s="4"/>
      <c r="C94" s="24"/>
      <c r="D94" s="24"/>
      <c r="E94" s="24"/>
      <c r="F94" s="24"/>
      <c r="G94" s="24"/>
      <c r="H94" s="32"/>
      <c r="I94" s="32"/>
      <c r="J94" s="32"/>
      <c r="K94" s="24"/>
      <c r="L94" s="32"/>
      <c r="M94" s="32"/>
      <c r="N94" s="57"/>
      <c r="O94" s="34"/>
      <c r="P94" s="34"/>
      <c r="Q94" s="34"/>
      <c r="R94" s="34"/>
      <c r="S94" s="34"/>
      <c r="T94" s="34"/>
      <c r="U94" s="3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24"/>
      <c r="BE94" s="31"/>
      <c r="BF94" s="24"/>
      <c r="BG94" s="31"/>
      <c r="BH94" s="34"/>
      <c r="BI94" s="34"/>
      <c r="BJ94" s="34"/>
      <c r="BK94" s="34"/>
      <c r="BL94" s="34"/>
      <c r="BM94" s="34"/>
      <c r="BN94" s="163"/>
      <c r="BO94" s="34"/>
      <c r="BP94" s="24"/>
      <c r="BW94" s="8"/>
      <c r="BY94" s="5"/>
      <c r="CF94" s="8"/>
      <c r="CH94" s="5"/>
    </row>
    <row r="95" s="1" customFormat="1" spans="1:86">
      <c r="A95" s="4"/>
      <c r="B95" s="4"/>
      <c r="C95" s="24"/>
      <c r="D95" s="24"/>
      <c r="E95" s="24"/>
      <c r="F95" s="24"/>
      <c r="G95" s="24"/>
      <c r="H95" s="32"/>
      <c r="I95" s="32"/>
      <c r="J95" s="32"/>
      <c r="K95" s="24"/>
      <c r="L95" s="32"/>
      <c r="M95" s="32"/>
      <c r="N95" s="57"/>
      <c r="O95" s="34"/>
      <c r="P95" s="34"/>
      <c r="Q95" s="34"/>
      <c r="R95" s="34"/>
      <c r="S95" s="34"/>
      <c r="T95" s="34"/>
      <c r="U95" s="3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24"/>
      <c r="BE95" s="31"/>
      <c r="BF95" s="24"/>
      <c r="BG95" s="31"/>
      <c r="BH95" s="34"/>
      <c r="BI95" s="34"/>
      <c r="BJ95" s="34"/>
      <c r="BK95" s="34"/>
      <c r="BL95" s="34"/>
      <c r="BM95" s="34"/>
      <c r="BN95" s="163"/>
      <c r="BO95" s="34"/>
      <c r="BP95" s="24"/>
      <c r="BW95" s="8"/>
      <c r="BY95" s="5"/>
      <c r="CF95" s="8"/>
      <c r="CH95" s="5"/>
    </row>
    <row r="96" s="1" customFormat="1" spans="1:86">
      <c r="A96" s="4"/>
      <c r="B96" s="4"/>
      <c r="C96" s="24"/>
      <c r="D96" s="24"/>
      <c r="E96" s="24"/>
      <c r="F96" s="24"/>
      <c r="G96" s="24"/>
      <c r="H96" s="32"/>
      <c r="I96" s="32"/>
      <c r="J96" s="32"/>
      <c r="K96" s="24"/>
      <c r="L96" s="32"/>
      <c r="M96" s="32"/>
      <c r="N96" s="57"/>
      <c r="O96" s="34"/>
      <c r="P96" s="34"/>
      <c r="Q96" s="34"/>
      <c r="R96" s="34"/>
      <c r="S96" s="34"/>
      <c r="T96" s="34"/>
      <c r="U96" s="3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24"/>
      <c r="BE96" s="31"/>
      <c r="BF96" s="24"/>
      <c r="BG96" s="31"/>
      <c r="BH96" s="34"/>
      <c r="BI96" s="34"/>
      <c r="BJ96" s="34"/>
      <c r="BK96" s="34"/>
      <c r="BL96" s="34"/>
      <c r="BM96" s="34"/>
      <c r="BN96" s="163"/>
      <c r="BO96" s="34"/>
      <c r="BP96" s="24"/>
      <c r="BW96" s="8"/>
      <c r="BY96" s="5"/>
      <c r="CF96" s="8"/>
      <c r="CH96" s="5"/>
    </row>
    <row r="97" s="1" customFormat="1" spans="1:86">
      <c r="A97" s="4"/>
      <c r="B97" s="4"/>
      <c r="C97" s="24"/>
      <c r="D97" s="24"/>
      <c r="E97" s="24"/>
      <c r="F97" s="24"/>
      <c r="G97" s="24"/>
      <c r="H97" s="32"/>
      <c r="I97" s="32"/>
      <c r="J97" s="32"/>
      <c r="K97" s="24"/>
      <c r="L97" s="32"/>
      <c r="M97" s="32"/>
      <c r="N97" s="57"/>
      <c r="O97" s="34"/>
      <c r="P97" s="34"/>
      <c r="Q97" s="34"/>
      <c r="R97" s="34"/>
      <c r="S97" s="34"/>
      <c r="T97" s="34"/>
      <c r="U97" s="3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24"/>
      <c r="BE97" s="31"/>
      <c r="BF97" s="24"/>
      <c r="BG97" s="31"/>
      <c r="BH97" s="34"/>
      <c r="BI97" s="34"/>
      <c r="BJ97" s="34"/>
      <c r="BK97" s="34"/>
      <c r="BL97" s="34"/>
      <c r="BM97" s="34"/>
      <c r="BN97" s="163"/>
      <c r="BO97" s="34"/>
      <c r="BP97" s="24"/>
      <c r="BW97" s="8"/>
      <c r="BY97" s="5"/>
      <c r="CF97" s="8"/>
      <c r="CH97" s="5"/>
    </row>
    <row r="98" s="1" customFormat="1" spans="1:86">
      <c r="A98" s="4"/>
      <c r="B98" s="4"/>
      <c r="C98" s="24"/>
      <c r="D98" s="24"/>
      <c r="E98" s="24"/>
      <c r="F98" s="24"/>
      <c r="G98" s="24"/>
      <c r="H98" s="32"/>
      <c r="I98" s="32"/>
      <c r="J98" s="32"/>
      <c r="K98" s="24"/>
      <c r="L98" s="32"/>
      <c r="M98" s="32"/>
      <c r="N98" s="57"/>
      <c r="O98" s="34"/>
      <c r="P98" s="34"/>
      <c r="Q98" s="34"/>
      <c r="R98" s="34"/>
      <c r="S98" s="34"/>
      <c r="T98" s="34"/>
      <c r="U98" s="3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24"/>
      <c r="BE98" s="31"/>
      <c r="BF98" s="24"/>
      <c r="BG98" s="31"/>
      <c r="BH98" s="34"/>
      <c r="BI98" s="34"/>
      <c r="BJ98" s="34"/>
      <c r="BK98" s="34"/>
      <c r="BL98" s="34"/>
      <c r="BM98" s="34"/>
      <c r="BN98" s="163"/>
      <c r="BO98" s="34"/>
      <c r="BP98" s="24"/>
      <c r="BW98" s="8"/>
      <c r="BY98" s="5"/>
      <c r="CF98" s="8"/>
      <c r="CH98" s="5"/>
    </row>
    <row r="99" s="1" customFormat="1" spans="1:86">
      <c r="A99" s="4"/>
      <c r="B99" s="4"/>
      <c r="C99" s="24"/>
      <c r="D99" s="24"/>
      <c r="E99" s="24"/>
      <c r="F99" s="24"/>
      <c r="G99" s="24"/>
      <c r="H99" s="32"/>
      <c r="I99" s="32"/>
      <c r="J99" s="32"/>
      <c r="K99" s="24"/>
      <c r="L99" s="32"/>
      <c r="M99" s="32"/>
      <c r="N99" s="57"/>
      <c r="O99" s="34"/>
      <c r="P99" s="34"/>
      <c r="Q99" s="34"/>
      <c r="R99" s="34"/>
      <c r="S99" s="34"/>
      <c r="T99" s="34"/>
      <c r="U99" s="3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24"/>
      <c r="BE99" s="31"/>
      <c r="BF99" s="24"/>
      <c r="BG99" s="31"/>
      <c r="BH99" s="34"/>
      <c r="BI99" s="34"/>
      <c r="BJ99" s="34"/>
      <c r="BK99" s="34"/>
      <c r="BL99" s="34"/>
      <c r="BM99" s="34"/>
      <c r="BN99" s="163"/>
      <c r="BO99" s="34"/>
      <c r="BP99" s="24"/>
      <c r="BW99" s="8"/>
      <c r="BY99" s="5"/>
      <c r="CF99" s="8"/>
      <c r="CH99" s="5"/>
    </row>
    <row r="100" s="1" customFormat="1" spans="1:86">
      <c r="A100" s="4"/>
      <c r="B100" s="4"/>
      <c r="C100" s="24"/>
      <c r="D100" s="24"/>
      <c r="E100" s="24"/>
      <c r="F100" s="24"/>
      <c r="G100" s="24"/>
      <c r="H100" s="32"/>
      <c r="I100" s="32"/>
      <c r="J100" s="32"/>
      <c r="K100" s="24"/>
      <c r="L100" s="32"/>
      <c r="M100" s="32"/>
      <c r="N100" s="57"/>
      <c r="O100" s="34"/>
      <c r="P100" s="34"/>
      <c r="Q100" s="34"/>
      <c r="R100" s="34"/>
      <c r="S100" s="34"/>
      <c r="T100" s="34"/>
      <c r="U100" s="3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24"/>
      <c r="BE100" s="31"/>
      <c r="BF100" s="24"/>
      <c r="BG100" s="31"/>
      <c r="BH100" s="34"/>
      <c r="BI100" s="34"/>
      <c r="BJ100" s="34"/>
      <c r="BK100" s="34"/>
      <c r="BL100" s="34"/>
      <c r="BM100" s="34"/>
      <c r="BN100" s="163"/>
      <c r="BO100" s="34"/>
      <c r="BP100" s="24"/>
      <c r="BW100" s="8"/>
      <c r="BY100" s="5"/>
      <c r="CF100" s="8"/>
      <c r="CH100" s="5"/>
    </row>
    <row r="101" s="1" customFormat="1" spans="1:86">
      <c r="A101" s="4"/>
      <c r="B101" s="4"/>
      <c r="C101" s="24"/>
      <c r="D101" s="24"/>
      <c r="E101" s="24"/>
      <c r="F101" s="24"/>
      <c r="G101" s="24"/>
      <c r="H101" s="32"/>
      <c r="I101" s="32"/>
      <c r="J101" s="32"/>
      <c r="K101" s="24"/>
      <c r="L101" s="32"/>
      <c r="M101" s="32"/>
      <c r="N101" s="57"/>
      <c r="O101" s="34"/>
      <c r="P101" s="34"/>
      <c r="Q101" s="34"/>
      <c r="R101" s="34"/>
      <c r="S101" s="34"/>
      <c r="T101" s="34"/>
      <c r="U101" s="3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24"/>
      <c r="BE101" s="31"/>
      <c r="BF101" s="24"/>
      <c r="BG101" s="31"/>
      <c r="BH101" s="34"/>
      <c r="BI101" s="34"/>
      <c r="BJ101" s="34"/>
      <c r="BK101" s="34"/>
      <c r="BL101" s="34"/>
      <c r="BM101" s="34"/>
      <c r="BN101" s="163"/>
      <c r="BO101" s="34"/>
      <c r="BP101" s="24"/>
      <c r="BW101" s="8"/>
      <c r="BY101" s="5"/>
      <c r="CF101" s="8"/>
      <c r="CH101" s="5"/>
    </row>
    <row r="102" s="1" customFormat="1" spans="1:86">
      <c r="A102" s="4"/>
      <c r="B102" s="4"/>
      <c r="C102" s="24"/>
      <c r="D102" s="24"/>
      <c r="E102" s="24"/>
      <c r="F102" s="24"/>
      <c r="G102" s="24"/>
      <c r="H102" s="32"/>
      <c r="I102" s="32"/>
      <c r="J102" s="32"/>
      <c r="K102" s="24"/>
      <c r="L102" s="32"/>
      <c r="M102" s="32"/>
      <c r="N102" s="57"/>
      <c r="O102" s="34"/>
      <c r="P102" s="34"/>
      <c r="Q102" s="34"/>
      <c r="R102" s="34"/>
      <c r="S102" s="34"/>
      <c r="T102" s="34"/>
      <c r="U102" s="3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24"/>
      <c r="BE102" s="31"/>
      <c r="BF102" s="24"/>
      <c r="BG102" s="31"/>
      <c r="BH102" s="34"/>
      <c r="BI102" s="34"/>
      <c r="BJ102" s="34"/>
      <c r="BK102" s="34"/>
      <c r="BL102" s="34"/>
      <c r="BM102" s="34"/>
      <c r="BN102" s="163"/>
      <c r="BO102" s="34"/>
      <c r="BP102" s="24"/>
      <c r="BW102" s="8"/>
      <c r="BY102" s="5"/>
      <c r="CF102" s="8"/>
      <c r="CH102" s="5"/>
    </row>
    <row r="103" s="1" customFormat="1" spans="1:86">
      <c r="A103" s="4"/>
      <c r="B103" s="4"/>
      <c r="C103" s="24"/>
      <c r="D103" s="24"/>
      <c r="E103" s="24"/>
      <c r="F103" s="24"/>
      <c r="G103" s="24"/>
      <c r="H103" s="32"/>
      <c r="I103" s="32"/>
      <c r="J103" s="32"/>
      <c r="K103" s="24"/>
      <c r="L103" s="32"/>
      <c r="M103" s="32"/>
      <c r="N103" s="57"/>
      <c r="O103" s="34"/>
      <c r="P103" s="34"/>
      <c r="Q103" s="34"/>
      <c r="R103" s="34"/>
      <c r="S103" s="34"/>
      <c r="T103" s="34"/>
      <c r="U103" s="3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24"/>
      <c r="BE103" s="31"/>
      <c r="BF103" s="24"/>
      <c r="BG103" s="31"/>
      <c r="BH103" s="34"/>
      <c r="BI103" s="34"/>
      <c r="BJ103" s="34"/>
      <c r="BK103" s="34"/>
      <c r="BL103" s="34"/>
      <c r="BM103" s="34"/>
      <c r="BN103" s="163"/>
      <c r="BO103" s="34"/>
      <c r="BP103" s="24"/>
      <c r="BW103" s="8"/>
      <c r="BY103" s="5"/>
      <c r="CF103" s="8"/>
      <c r="CH103" s="5"/>
    </row>
    <row r="104" s="1" customFormat="1" spans="1:86">
      <c r="A104" s="4"/>
      <c r="B104" s="4"/>
      <c r="C104" s="24"/>
      <c r="D104" s="24"/>
      <c r="E104" s="24"/>
      <c r="F104" s="24"/>
      <c r="G104" s="24"/>
      <c r="H104" s="32"/>
      <c r="I104" s="32"/>
      <c r="J104" s="32"/>
      <c r="K104" s="24"/>
      <c r="L104" s="32"/>
      <c r="M104" s="32"/>
      <c r="N104" s="57"/>
      <c r="O104" s="34"/>
      <c r="P104" s="34"/>
      <c r="Q104" s="34"/>
      <c r="R104" s="34"/>
      <c r="S104" s="34"/>
      <c r="T104" s="34"/>
      <c r="U104" s="3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24"/>
      <c r="BE104" s="31"/>
      <c r="BF104" s="24"/>
      <c r="BG104" s="31"/>
      <c r="BH104" s="34"/>
      <c r="BI104" s="34"/>
      <c r="BJ104" s="34"/>
      <c r="BK104" s="34"/>
      <c r="BL104" s="34"/>
      <c r="BM104" s="34"/>
      <c r="BN104" s="163"/>
      <c r="BO104" s="34"/>
      <c r="BP104" s="24"/>
      <c r="BW104" s="8"/>
      <c r="BY104" s="5"/>
      <c r="CF104" s="8"/>
      <c r="CH104" s="5"/>
    </row>
    <row r="105" s="1" customFormat="1" spans="1:86">
      <c r="A105" s="4"/>
      <c r="B105" s="4"/>
      <c r="C105" s="24"/>
      <c r="D105" s="24"/>
      <c r="E105" s="24"/>
      <c r="F105" s="24"/>
      <c r="G105" s="24"/>
      <c r="H105" s="32"/>
      <c r="I105" s="32"/>
      <c r="J105" s="32"/>
      <c r="K105" s="24"/>
      <c r="L105" s="32"/>
      <c r="M105" s="32"/>
      <c r="N105" s="57"/>
      <c r="O105" s="34"/>
      <c r="P105" s="34"/>
      <c r="Q105" s="34"/>
      <c r="R105" s="34"/>
      <c r="S105" s="34"/>
      <c r="T105" s="34"/>
      <c r="U105" s="3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24"/>
      <c r="BE105" s="31"/>
      <c r="BF105" s="24"/>
      <c r="BG105" s="31"/>
      <c r="BH105" s="34"/>
      <c r="BI105" s="34"/>
      <c r="BJ105" s="34"/>
      <c r="BK105" s="34"/>
      <c r="BL105" s="34"/>
      <c r="BM105" s="34"/>
      <c r="BN105" s="163"/>
      <c r="BO105" s="34"/>
      <c r="BP105" s="24"/>
      <c r="BW105" s="8"/>
      <c r="BY105" s="5"/>
      <c r="CF105" s="8"/>
      <c r="CH105" s="5"/>
    </row>
    <row r="106" s="1" customFormat="1" spans="1:86">
      <c r="A106" s="4"/>
      <c r="B106" s="4"/>
      <c r="C106" s="24"/>
      <c r="D106" s="24"/>
      <c r="E106" s="24"/>
      <c r="F106" s="24"/>
      <c r="G106" s="24"/>
      <c r="H106" s="32"/>
      <c r="I106" s="32"/>
      <c r="J106" s="32"/>
      <c r="K106" s="24"/>
      <c r="L106" s="32"/>
      <c r="M106" s="32"/>
      <c r="N106" s="57"/>
      <c r="O106" s="34"/>
      <c r="P106" s="34"/>
      <c r="Q106" s="34"/>
      <c r="R106" s="34"/>
      <c r="S106" s="34"/>
      <c r="T106" s="34"/>
      <c r="U106" s="3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24"/>
      <c r="BE106" s="31"/>
      <c r="BF106" s="24"/>
      <c r="BG106" s="31"/>
      <c r="BH106" s="34"/>
      <c r="BI106" s="34"/>
      <c r="BJ106" s="34"/>
      <c r="BK106" s="34"/>
      <c r="BL106" s="34"/>
      <c r="BM106" s="34"/>
      <c r="BN106" s="163"/>
      <c r="BO106" s="34"/>
      <c r="BP106" s="24"/>
      <c r="BW106" s="8"/>
      <c r="BY106" s="5"/>
      <c r="CF106" s="8"/>
      <c r="CH106" s="5"/>
    </row>
    <row r="107" s="1" customFormat="1" spans="1:86">
      <c r="A107" s="4"/>
      <c r="B107" s="4"/>
      <c r="C107" s="24"/>
      <c r="D107" s="24"/>
      <c r="E107" s="24"/>
      <c r="F107" s="24"/>
      <c r="G107" s="24"/>
      <c r="H107" s="32"/>
      <c r="I107" s="32"/>
      <c r="J107" s="32"/>
      <c r="K107" s="24"/>
      <c r="L107" s="32"/>
      <c r="M107" s="32"/>
      <c r="N107" s="57"/>
      <c r="O107" s="34"/>
      <c r="P107" s="34"/>
      <c r="Q107" s="34"/>
      <c r="R107" s="34"/>
      <c r="S107" s="34"/>
      <c r="T107" s="34"/>
      <c r="U107" s="3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24"/>
      <c r="BE107" s="31"/>
      <c r="BF107" s="24"/>
      <c r="BG107" s="31"/>
      <c r="BH107" s="34"/>
      <c r="BI107" s="34"/>
      <c r="BJ107" s="34"/>
      <c r="BK107" s="34"/>
      <c r="BL107" s="34"/>
      <c r="BM107" s="34"/>
      <c r="BN107" s="163"/>
      <c r="BO107" s="34"/>
      <c r="BP107" s="24"/>
      <c r="BW107" s="8"/>
      <c r="BY107" s="5"/>
      <c r="CF107" s="8"/>
      <c r="CH107" s="5"/>
    </row>
    <row r="108" s="1" customFormat="1" spans="1:86">
      <c r="A108" s="4"/>
      <c r="B108" s="4"/>
      <c r="C108" s="24"/>
      <c r="D108" s="24"/>
      <c r="E108" s="24"/>
      <c r="F108" s="24"/>
      <c r="G108" s="24"/>
      <c r="H108" s="32"/>
      <c r="I108" s="32"/>
      <c r="J108" s="32"/>
      <c r="K108" s="24"/>
      <c r="L108" s="32"/>
      <c r="M108" s="32"/>
      <c r="N108" s="57"/>
      <c r="O108" s="34"/>
      <c r="P108" s="34"/>
      <c r="Q108" s="34"/>
      <c r="R108" s="34"/>
      <c r="S108" s="34"/>
      <c r="T108" s="34"/>
      <c r="U108" s="3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24"/>
      <c r="BE108" s="31"/>
      <c r="BF108" s="24"/>
      <c r="BG108" s="31"/>
      <c r="BH108" s="34"/>
      <c r="BI108" s="34"/>
      <c r="BJ108" s="34"/>
      <c r="BK108" s="34"/>
      <c r="BL108" s="34"/>
      <c r="BM108" s="34"/>
      <c r="BN108" s="163"/>
      <c r="BO108" s="34"/>
      <c r="BP108" s="24"/>
      <c r="BW108" s="8"/>
      <c r="BY108" s="5"/>
      <c r="CF108" s="8"/>
      <c r="CH108" s="5"/>
    </row>
    <row r="109" s="1" customFormat="1" spans="1:86">
      <c r="A109" s="4"/>
      <c r="B109" s="4"/>
      <c r="C109" s="24"/>
      <c r="D109" s="24"/>
      <c r="E109" s="24"/>
      <c r="F109" s="24"/>
      <c r="G109" s="24"/>
      <c r="H109" s="32"/>
      <c r="I109" s="32"/>
      <c r="J109" s="32"/>
      <c r="K109" s="24"/>
      <c r="L109" s="32"/>
      <c r="M109" s="32"/>
      <c r="N109" s="57"/>
      <c r="O109" s="34"/>
      <c r="P109" s="34"/>
      <c r="Q109" s="34"/>
      <c r="R109" s="34"/>
      <c r="S109" s="34"/>
      <c r="T109" s="34"/>
      <c r="U109" s="3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24"/>
      <c r="BE109" s="31"/>
      <c r="BF109" s="24"/>
      <c r="BG109" s="31"/>
      <c r="BH109" s="34"/>
      <c r="BI109" s="34"/>
      <c r="BJ109" s="34"/>
      <c r="BK109" s="34"/>
      <c r="BL109" s="34"/>
      <c r="BM109" s="34"/>
      <c r="BN109" s="163"/>
      <c r="BO109" s="34"/>
      <c r="BP109" s="24"/>
      <c r="BW109" s="8"/>
      <c r="BY109" s="5"/>
      <c r="CF109" s="8"/>
      <c r="CH109" s="5"/>
    </row>
    <row r="110" s="1" customFormat="1" spans="1:86">
      <c r="A110" s="4"/>
      <c r="B110" s="4"/>
      <c r="C110" s="24"/>
      <c r="D110" s="24"/>
      <c r="E110" s="24"/>
      <c r="F110" s="24"/>
      <c r="G110" s="24"/>
      <c r="H110" s="32"/>
      <c r="I110" s="32"/>
      <c r="J110" s="32"/>
      <c r="K110" s="24"/>
      <c r="L110" s="32"/>
      <c r="M110" s="32"/>
      <c r="N110" s="57"/>
      <c r="O110" s="34"/>
      <c r="P110" s="34"/>
      <c r="Q110" s="34"/>
      <c r="R110" s="34"/>
      <c r="S110" s="34"/>
      <c r="T110" s="34"/>
      <c r="U110" s="3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24"/>
      <c r="BE110" s="31"/>
      <c r="BF110" s="24"/>
      <c r="BG110" s="31"/>
      <c r="BH110" s="34"/>
      <c r="BI110" s="34"/>
      <c r="BJ110" s="34"/>
      <c r="BK110" s="34"/>
      <c r="BL110" s="34"/>
      <c r="BM110" s="34"/>
      <c r="BN110" s="163"/>
      <c r="BO110" s="34"/>
      <c r="BP110" s="24"/>
      <c r="BW110" s="8"/>
      <c r="BY110" s="5"/>
      <c r="CF110" s="8"/>
      <c r="CH110" s="5"/>
    </row>
    <row r="111" s="1" customFormat="1" spans="1:86">
      <c r="A111" s="4"/>
      <c r="B111" s="4"/>
      <c r="C111" s="24"/>
      <c r="D111" s="24"/>
      <c r="E111" s="24"/>
      <c r="F111" s="24"/>
      <c r="G111" s="24"/>
      <c r="H111" s="32"/>
      <c r="I111" s="32"/>
      <c r="J111" s="32"/>
      <c r="K111" s="24"/>
      <c r="L111" s="32"/>
      <c r="M111" s="32"/>
      <c r="N111" s="57"/>
      <c r="O111" s="34"/>
      <c r="P111" s="34"/>
      <c r="Q111" s="34"/>
      <c r="R111" s="34"/>
      <c r="S111" s="34"/>
      <c r="T111" s="34"/>
      <c r="U111" s="3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24"/>
      <c r="BE111" s="31"/>
      <c r="BF111" s="24"/>
      <c r="BG111" s="31"/>
      <c r="BH111" s="34"/>
      <c r="BI111" s="34"/>
      <c r="BJ111" s="34"/>
      <c r="BK111" s="34"/>
      <c r="BL111" s="34"/>
      <c r="BM111" s="34"/>
      <c r="BN111" s="163"/>
      <c r="BO111" s="34"/>
      <c r="BP111" s="24"/>
      <c r="BW111" s="8"/>
      <c r="BY111" s="5"/>
      <c r="CF111" s="8"/>
      <c r="CH111" s="5"/>
    </row>
    <row r="112" s="1" customFormat="1" spans="1:86">
      <c r="A112" s="4"/>
      <c r="B112" s="4"/>
      <c r="C112" s="24"/>
      <c r="D112" s="24"/>
      <c r="E112" s="24"/>
      <c r="F112" s="24"/>
      <c r="G112" s="24"/>
      <c r="H112" s="32"/>
      <c r="I112" s="32"/>
      <c r="J112" s="32"/>
      <c r="K112" s="24"/>
      <c r="L112" s="32"/>
      <c r="M112" s="32"/>
      <c r="N112" s="57"/>
      <c r="O112" s="34"/>
      <c r="P112" s="34"/>
      <c r="Q112" s="34"/>
      <c r="R112" s="34"/>
      <c r="S112" s="34"/>
      <c r="T112" s="34"/>
      <c r="U112" s="3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24"/>
      <c r="BE112" s="31"/>
      <c r="BF112" s="24"/>
      <c r="BG112" s="31"/>
      <c r="BH112" s="34"/>
      <c r="BI112" s="34"/>
      <c r="BJ112" s="34"/>
      <c r="BK112" s="34"/>
      <c r="BL112" s="34"/>
      <c r="BM112" s="34"/>
      <c r="BN112" s="163"/>
      <c r="BO112" s="34"/>
      <c r="BP112" s="24"/>
      <c r="BW112" s="8"/>
      <c r="BY112" s="5"/>
      <c r="CF112" s="8"/>
      <c r="CH112" s="5"/>
    </row>
    <row r="113" s="1" customFormat="1" spans="1:86">
      <c r="A113" s="4"/>
      <c r="B113" s="4"/>
      <c r="C113" s="24"/>
      <c r="D113" s="24"/>
      <c r="E113" s="24"/>
      <c r="F113" s="24"/>
      <c r="G113" s="24"/>
      <c r="H113" s="32"/>
      <c r="I113" s="32"/>
      <c r="J113" s="32"/>
      <c r="K113" s="24"/>
      <c r="L113" s="32"/>
      <c r="M113" s="32"/>
      <c r="N113" s="57"/>
      <c r="O113" s="34"/>
      <c r="P113" s="34"/>
      <c r="Q113" s="34"/>
      <c r="R113" s="34"/>
      <c r="S113" s="34"/>
      <c r="T113" s="34"/>
      <c r="U113" s="3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24"/>
      <c r="BE113" s="31"/>
      <c r="BF113" s="24"/>
      <c r="BG113" s="31"/>
      <c r="BH113" s="34"/>
      <c r="BI113" s="34"/>
      <c r="BJ113" s="34"/>
      <c r="BK113" s="34"/>
      <c r="BL113" s="34"/>
      <c r="BM113" s="34"/>
      <c r="BN113" s="163"/>
      <c r="BO113" s="34"/>
      <c r="BP113" s="24"/>
      <c r="BW113" s="8"/>
      <c r="BY113" s="5"/>
      <c r="CF113" s="8"/>
      <c r="CH113" s="5"/>
    </row>
    <row r="114" s="1" customFormat="1" spans="1:86">
      <c r="A114" s="4"/>
      <c r="B114" s="4"/>
      <c r="C114" s="24"/>
      <c r="D114" s="24"/>
      <c r="E114" s="24"/>
      <c r="F114" s="24"/>
      <c r="G114" s="24"/>
      <c r="H114" s="32"/>
      <c r="I114" s="32"/>
      <c r="J114" s="32"/>
      <c r="K114" s="24"/>
      <c r="L114" s="32"/>
      <c r="M114" s="32"/>
      <c r="N114" s="57"/>
      <c r="O114" s="34"/>
      <c r="P114" s="34"/>
      <c r="Q114" s="34"/>
      <c r="R114" s="34"/>
      <c r="S114" s="34"/>
      <c r="T114" s="34"/>
      <c r="U114" s="3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24"/>
      <c r="BE114" s="31"/>
      <c r="BF114" s="24"/>
      <c r="BG114" s="31"/>
      <c r="BH114" s="34"/>
      <c r="BI114" s="34"/>
      <c r="BJ114" s="34"/>
      <c r="BK114" s="34"/>
      <c r="BL114" s="34"/>
      <c r="BM114" s="34"/>
      <c r="BN114" s="163"/>
      <c r="BO114" s="34"/>
      <c r="BP114" s="24"/>
      <c r="BW114" s="8"/>
      <c r="BY114" s="5"/>
      <c r="CF114" s="8"/>
      <c r="CH114" s="5"/>
    </row>
    <row r="115" s="1" customFormat="1" spans="1:86">
      <c r="A115" s="4"/>
      <c r="B115" s="4"/>
      <c r="C115" s="24"/>
      <c r="D115" s="24"/>
      <c r="E115" s="24"/>
      <c r="F115" s="24"/>
      <c r="G115" s="24"/>
      <c r="H115" s="32"/>
      <c r="I115" s="32"/>
      <c r="J115" s="32"/>
      <c r="K115" s="24"/>
      <c r="L115" s="32"/>
      <c r="M115" s="32"/>
      <c r="N115" s="57"/>
      <c r="O115" s="34"/>
      <c r="P115" s="34"/>
      <c r="Q115" s="34"/>
      <c r="R115" s="34"/>
      <c r="S115" s="34"/>
      <c r="T115" s="34"/>
      <c r="U115" s="3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24"/>
      <c r="BE115" s="31"/>
      <c r="BF115" s="24"/>
      <c r="BG115" s="31"/>
      <c r="BH115" s="34"/>
      <c r="BI115" s="34"/>
      <c r="BJ115" s="34"/>
      <c r="BK115" s="34"/>
      <c r="BL115" s="34"/>
      <c r="BM115" s="34"/>
      <c r="BN115" s="163"/>
      <c r="BO115" s="34"/>
      <c r="BP115" s="24"/>
      <c r="BW115" s="8"/>
      <c r="BY115" s="5"/>
      <c r="CF115" s="8"/>
      <c r="CH115" s="5"/>
    </row>
    <row r="116" s="1" customFormat="1" spans="1:86">
      <c r="A116" s="4"/>
      <c r="B116" s="4"/>
      <c r="C116" s="24"/>
      <c r="D116" s="24"/>
      <c r="E116" s="24"/>
      <c r="F116" s="24"/>
      <c r="G116" s="24"/>
      <c r="H116" s="32"/>
      <c r="I116" s="32"/>
      <c r="J116" s="32"/>
      <c r="K116" s="24"/>
      <c r="L116" s="32"/>
      <c r="M116" s="32"/>
      <c r="N116" s="57"/>
      <c r="O116" s="34"/>
      <c r="P116" s="34"/>
      <c r="Q116" s="34"/>
      <c r="R116" s="34"/>
      <c r="S116" s="34"/>
      <c r="T116" s="34"/>
      <c r="U116" s="3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24"/>
      <c r="BE116" s="31"/>
      <c r="BF116" s="24"/>
      <c r="BG116" s="31"/>
      <c r="BH116" s="34"/>
      <c r="BI116" s="34"/>
      <c r="BJ116" s="34"/>
      <c r="BK116" s="34"/>
      <c r="BL116" s="34"/>
      <c r="BM116" s="34"/>
      <c r="BN116" s="163"/>
      <c r="BO116" s="34"/>
      <c r="BP116" s="24"/>
      <c r="BW116" s="8"/>
      <c r="BY116" s="5"/>
      <c r="CF116" s="8"/>
      <c r="CH116" s="5"/>
    </row>
    <row r="117" s="1" customFormat="1" spans="1:86">
      <c r="A117" s="4"/>
      <c r="B117" s="4"/>
      <c r="C117" s="24"/>
      <c r="D117" s="24"/>
      <c r="E117" s="24"/>
      <c r="F117" s="24"/>
      <c r="G117" s="24"/>
      <c r="H117" s="32"/>
      <c r="I117" s="32"/>
      <c r="J117" s="32"/>
      <c r="K117" s="24"/>
      <c r="L117" s="32"/>
      <c r="M117" s="32"/>
      <c r="N117" s="57"/>
      <c r="O117" s="34"/>
      <c r="P117" s="34"/>
      <c r="Q117" s="34"/>
      <c r="R117" s="34"/>
      <c r="S117" s="34"/>
      <c r="T117" s="34"/>
      <c r="U117" s="3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24"/>
      <c r="BE117" s="31"/>
      <c r="BF117" s="24"/>
      <c r="BG117" s="31"/>
      <c r="BH117" s="34"/>
      <c r="BI117" s="34"/>
      <c r="BJ117" s="34"/>
      <c r="BK117" s="34"/>
      <c r="BL117" s="34"/>
      <c r="BM117" s="34"/>
      <c r="BN117" s="163"/>
      <c r="BO117" s="34"/>
      <c r="BP117" s="24"/>
      <c r="BW117" s="8"/>
      <c r="BY117" s="5"/>
      <c r="CF117" s="8"/>
      <c r="CH117" s="5"/>
    </row>
    <row r="118" s="1" customFormat="1" spans="1:86">
      <c r="A118" s="4"/>
      <c r="B118" s="4"/>
      <c r="C118" s="24"/>
      <c r="D118" s="24"/>
      <c r="E118" s="24"/>
      <c r="F118" s="24"/>
      <c r="G118" s="24"/>
      <c r="H118" s="32"/>
      <c r="I118" s="32"/>
      <c r="J118" s="32"/>
      <c r="K118" s="24"/>
      <c r="L118" s="32"/>
      <c r="M118" s="32"/>
      <c r="N118" s="57"/>
      <c r="O118" s="34"/>
      <c r="P118" s="34"/>
      <c r="Q118" s="34"/>
      <c r="R118" s="34"/>
      <c r="S118" s="34"/>
      <c r="T118" s="34"/>
      <c r="U118" s="3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24"/>
      <c r="BE118" s="31"/>
      <c r="BF118" s="24"/>
      <c r="BG118" s="31"/>
      <c r="BH118" s="34"/>
      <c r="BI118" s="34"/>
      <c r="BJ118" s="34"/>
      <c r="BK118" s="34"/>
      <c r="BL118" s="34"/>
      <c r="BM118" s="34"/>
      <c r="BN118" s="163"/>
      <c r="BO118" s="34"/>
      <c r="BP118" s="24"/>
      <c r="BW118" s="8"/>
      <c r="BY118" s="5"/>
      <c r="CF118" s="8"/>
      <c r="CH118" s="5"/>
    </row>
    <row r="119" s="1" customFormat="1" spans="1:86">
      <c r="A119" s="4"/>
      <c r="B119" s="4"/>
      <c r="C119" s="24"/>
      <c r="D119" s="24"/>
      <c r="E119" s="24"/>
      <c r="F119" s="24"/>
      <c r="G119" s="24"/>
      <c r="H119" s="32"/>
      <c r="I119" s="32"/>
      <c r="J119" s="32"/>
      <c r="K119" s="24"/>
      <c r="L119" s="32"/>
      <c r="M119" s="32"/>
      <c r="N119" s="57"/>
      <c r="O119" s="34"/>
      <c r="P119" s="34"/>
      <c r="Q119" s="34"/>
      <c r="R119" s="34"/>
      <c r="S119" s="34"/>
      <c r="T119" s="34"/>
      <c r="U119" s="3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24"/>
      <c r="BE119" s="31"/>
      <c r="BF119" s="24"/>
      <c r="BG119" s="31"/>
      <c r="BH119" s="34"/>
      <c r="BI119" s="34"/>
      <c r="BJ119" s="34"/>
      <c r="BK119" s="34"/>
      <c r="BL119" s="34"/>
      <c r="BM119" s="34"/>
      <c r="BN119" s="163"/>
      <c r="BO119" s="34"/>
      <c r="BP119" s="24"/>
      <c r="BW119" s="8"/>
      <c r="BY119" s="5"/>
      <c r="CF119" s="8"/>
      <c r="CH119" s="5"/>
    </row>
    <row r="120" s="1" customFormat="1" spans="1:86">
      <c r="A120" s="4"/>
      <c r="B120" s="4"/>
      <c r="C120" s="24"/>
      <c r="D120" s="24"/>
      <c r="E120" s="24"/>
      <c r="F120" s="24"/>
      <c r="G120" s="24"/>
      <c r="H120" s="32"/>
      <c r="I120" s="32"/>
      <c r="J120" s="32"/>
      <c r="K120" s="24"/>
      <c r="L120" s="32"/>
      <c r="M120" s="32"/>
      <c r="N120" s="57"/>
      <c r="O120" s="34"/>
      <c r="P120" s="34"/>
      <c r="Q120" s="34"/>
      <c r="R120" s="34"/>
      <c r="S120" s="34"/>
      <c r="T120" s="34"/>
      <c r="U120" s="3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24"/>
      <c r="BE120" s="31"/>
      <c r="BF120" s="24"/>
      <c r="BG120" s="31"/>
      <c r="BH120" s="34"/>
      <c r="BI120" s="34"/>
      <c r="BJ120" s="34"/>
      <c r="BK120" s="34"/>
      <c r="BL120" s="34"/>
      <c r="BM120" s="34"/>
      <c r="BN120" s="163"/>
      <c r="BO120" s="34"/>
      <c r="BP120" s="24"/>
      <c r="BW120" s="8"/>
      <c r="BY120" s="5"/>
      <c r="CF120" s="8"/>
      <c r="CH120" s="5"/>
    </row>
    <row r="121" s="1" customFormat="1" spans="1:86">
      <c r="A121" s="4"/>
      <c r="B121" s="4"/>
      <c r="C121" s="24"/>
      <c r="D121" s="24"/>
      <c r="E121" s="24"/>
      <c r="F121" s="24"/>
      <c r="G121" s="24"/>
      <c r="H121" s="32"/>
      <c r="I121" s="32"/>
      <c r="J121" s="32"/>
      <c r="K121" s="24"/>
      <c r="L121" s="32"/>
      <c r="M121" s="32"/>
      <c r="N121" s="57"/>
      <c r="O121" s="34"/>
      <c r="P121" s="34"/>
      <c r="Q121" s="34"/>
      <c r="R121" s="34"/>
      <c r="S121" s="34"/>
      <c r="T121" s="34"/>
      <c r="U121" s="3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24"/>
      <c r="BE121" s="31"/>
      <c r="BF121" s="24"/>
      <c r="BG121" s="31"/>
      <c r="BH121" s="34"/>
      <c r="BI121" s="34"/>
      <c r="BJ121" s="34"/>
      <c r="BK121" s="34"/>
      <c r="BL121" s="34"/>
      <c r="BM121" s="34"/>
      <c r="BN121" s="163"/>
      <c r="BO121" s="34"/>
      <c r="BP121" s="24"/>
      <c r="BW121" s="8"/>
      <c r="BY121" s="5"/>
      <c r="CF121" s="8"/>
      <c r="CH121" s="5"/>
    </row>
    <row r="122" s="1" customFormat="1" spans="1:86">
      <c r="A122" s="4"/>
      <c r="B122" s="4"/>
      <c r="C122" s="24"/>
      <c r="D122" s="24"/>
      <c r="E122" s="24"/>
      <c r="F122" s="24"/>
      <c r="G122" s="24"/>
      <c r="H122" s="32"/>
      <c r="I122" s="32"/>
      <c r="J122" s="32"/>
      <c r="K122" s="24"/>
      <c r="L122" s="32"/>
      <c r="M122" s="32"/>
      <c r="N122" s="57"/>
      <c r="O122" s="34"/>
      <c r="P122" s="34"/>
      <c r="Q122" s="34"/>
      <c r="R122" s="34"/>
      <c r="S122" s="34"/>
      <c r="T122" s="34"/>
      <c r="U122" s="3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24"/>
      <c r="BE122" s="31"/>
      <c r="BF122" s="24"/>
      <c r="BG122" s="31"/>
      <c r="BH122" s="34"/>
      <c r="BI122" s="34"/>
      <c r="BJ122" s="34"/>
      <c r="BK122" s="34"/>
      <c r="BL122" s="34"/>
      <c r="BM122" s="34"/>
      <c r="BN122" s="163"/>
      <c r="BO122" s="34"/>
      <c r="BP122" s="24"/>
      <c r="BW122" s="8"/>
      <c r="BY122" s="5"/>
      <c r="CF122" s="8"/>
      <c r="CH122" s="5"/>
    </row>
    <row r="123" s="1" customFormat="1" spans="1:86">
      <c r="A123" s="4"/>
      <c r="B123" s="4"/>
      <c r="C123" s="24"/>
      <c r="D123" s="24"/>
      <c r="E123" s="24"/>
      <c r="F123" s="24"/>
      <c r="G123" s="24"/>
      <c r="H123" s="32"/>
      <c r="I123" s="32"/>
      <c r="J123" s="32"/>
      <c r="K123" s="24"/>
      <c r="L123" s="32"/>
      <c r="M123" s="32"/>
      <c r="N123" s="57"/>
      <c r="O123" s="34"/>
      <c r="P123" s="34"/>
      <c r="Q123" s="34"/>
      <c r="R123" s="34"/>
      <c r="S123" s="34"/>
      <c r="T123" s="34"/>
      <c r="U123" s="3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24"/>
      <c r="BE123" s="31"/>
      <c r="BF123" s="24"/>
      <c r="BG123" s="31"/>
      <c r="BH123" s="34"/>
      <c r="BI123" s="34"/>
      <c r="BJ123" s="34"/>
      <c r="BK123" s="34"/>
      <c r="BL123" s="34"/>
      <c r="BM123" s="34"/>
      <c r="BN123" s="163"/>
      <c r="BO123" s="34"/>
      <c r="BP123" s="24"/>
      <c r="BW123" s="8"/>
      <c r="BY123" s="5"/>
      <c r="CF123" s="8"/>
      <c r="CH123" s="5"/>
    </row>
    <row r="124" s="1" customFormat="1" spans="1:86">
      <c r="A124" s="4"/>
      <c r="B124" s="4"/>
      <c r="C124" s="24"/>
      <c r="D124" s="24"/>
      <c r="E124" s="24"/>
      <c r="F124" s="24"/>
      <c r="G124" s="24"/>
      <c r="H124" s="32"/>
      <c r="I124" s="32"/>
      <c r="J124" s="32"/>
      <c r="K124" s="24"/>
      <c r="L124" s="32"/>
      <c r="M124" s="32"/>
      <c r="N124" s="57"/>
      <c r="O124" s="34"/>
      <c r="P124" s="34"/>
      <c r="Q124" s="34"/>
      <c r="R124" s="34"/>
      <c r="S124" s="34"/>
      <c r="T124" s="34"/>
      <c r="U124" s="3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24"/>
      <c r="BE124" s="31"/>
      <c r="BF124" s="24"/>
      <c r="BG124" s="31"/>
      <c r="BH124" s="34"/>
      <c r="BI124" s="34"/>
      <c r="BJ124" s="34"/>
      <c r="BK124" s="34"/>
      <c r="BL124" s="34"/>
      <c r="BM124" s="34"/>
      <c r="BN124" s="163"/>
      <c r="BO124" s="34"/>
      <c r="BP124" s="24"/>
      <c r="BW124" s="8"/>
      <c r="BY124" s="5"/>
      <c r="CF124" s="8"/>
      <c r="CH124" s="5"/>
    </row>
    <row r="125" s="1" customFormat="1" spans="1:86">
      <c r="A125" s="4"/>
      <c r="B125" s="4"/>
      <c r="C125" s="24"/>
      <c r="D125" s="24"/>
      <c r="E125" s="24"/>
      <c r="F125" s="24"/>
      <c r="G125" s="24"/>
      <c r="H125" s="32"/>
      <c r="I125" s="32"/>
      <c r="J125" s="32"/>
      <c r="K125" s="24"/>
      <c r="L125" s="32"/>
      <c r="M125" s="32"/>
      <c r="N125" s="57"/>
      <c r="O125" s="34"/>
      <c r="P125" s="34"/>
      <c r="Q125" s="34"/>
      <c r="R125" s="34"/>
      <c r="S125" s="34"/>
      <c r="T125" s="34"/>
      <c r="U125" s="3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24"/>
      <c r="BE125" s="31"/>
      <c r="BF125" s="24"/>
      <c r="BG125" s="31"/>
      <c r="BH125" s="34"/>
      <c r="BI125" s="34"/>
      <c r="BJ125" s="34"/>
      <c r="BK125" s="34"/>
      <c r="BL125" s="34"/>
      <c r="BM125" s="34"/>
      <c r="BN125" s="163"/>
      <c r="BO125" s="34"/>
      <c r="BP125" s="24"/>
      <c r="BW125" s="8"/>
      <c r="BY125" s="5"/>
      <c r="CF125" s="8"/>
      <c r="CH125" s="5"/>
    </row>
    <row r="126" s="1" customFormat="1" spans="1:86">
      <c r="A126" s="4"/>
      <c r="B126" s="4"/>
      <c r="C126" s="24"/>
      <c r="D126" s="24"/>
      <c r="E126" s="24"/>
      <c r="F126" s="24"/>
      <c r="G126" s="24"/>
      <c r="H126" s="32"/>
      <c r="I126" s="32"/>
      <c r="J126" s="32"/>
      <c r="K126" s="24"/>
      <c r="L126" s="32"/>
      <c r="M126" s="32"/>
      <c r="N126" s="57"/>
      <c r="O126" s="34"/>
      <c r="P126" s="34"/>
      <c r="Q126" s="34"/>
      <c r="R126" s="34"/>
      <c r="S126" s="34"/>
      <c r="T126" s="34"/>
      <c r="U126" s="3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24"/>
      <c r="BE126" s="31"/>
      <c r="BF126" s="24"/>
      <c r="BG126" s="31"/>
      <c r="BH126" s="34"/>
      <c r="BI126" s="34"/>
      <c r="BJ126" s="34"/>
      <c r="BK126" s="34"/>
      <c r="BL126" s="34"/>
      <c r="BM126" s="34"/>
      <c r="BN126" s="163"/>
      <c r="BO126" s="34"/>
      <c r="BP126" s="24"/>
      <c r="BW126" s="8"/>
      <c r="BY126" s="5"/>
      <c r="CF126" s="8"/>
      <c r="CH126" s="5"/>
    </row>
    <row r="127" s="1" customFormat="1" spans="1:86">
      <c r="A127" s="4"/>
      <c r="B127" s="4"/>
      <c r="C127" s="24"/>
      <c r="D127" s="24"/>
      <c r="E127" s="24"/>
      <c r="F127" s="24"/>
      <c r="G127" s="24"/>
      <c r="H127" s="32"/>
      <c r="I127" s="32"/>
      <c r="J127" s="32"/>
      <c r="K127" s="24"/>
      <c r="L127" s="32"/>
      <c r="M127" s="32"/>
      <c r="N127" s="57"/>
      <c r="O127" s="34"/>
      <c r="P127" s="34"/>
      <c r="Q127" s="34"/>
      <c r="R127" s="34"/>
      <c r="S127" s="34"/>
      <c r="T127" s="34"/>
      <c r="U127" s="3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24"/>
      <c r="BE127" s="31"/>
      <c r="BF127" s="24"/>
      <c r="BG127" s="31"/>
      <c r="BH127" s="34"/>
      <c r="BI127" s="34"/>
      <c r="BJ127" s="34"/>
      <c r="BK127" s="34"/>
      <c r="BL127" s="34"/>
      <c r="BM127" s="34"/>
      <c r="BN127" s="163"/>
      <c r="BO127" s="34"/>
      <c r="BP127" s="24"/>
      <c r="BW127" s="8"/>
      <c r="BY127" s="5"/>
      <c r="CF127" s="8"/>
      <c r="CH127" s="5"/>
    </row>
    <row r="128" s="1" customFormat="1" spans="1:86">
      <c r="A128" s="4"/>
      <c r="B128" s="4"/>
      <c r="C128" s="24"/>
      <c r="D128" s="24"/>
      <c r="E128" s="24"/>
      <c r="F128" s="24"/>
      <c r="G128" s="24"/>
      <c r="H128" s="32"/>
      <c r="I128" s="32"/>
      <c r="J128" s="32"/>
      <c r="K128" s="24"/>
      <c r="L128" s="32"/>
      <c r="M128" s="32"/>
      <c r="N128" s="57"/>
      <c r="O128" s="34"/>
      <c r="P128" s="34"/>
      <c r="Q128" s="34"/>
      <c r="R128" s="34"/>
      <c r="S128" s="34"/>
      <c r="T128" s="34"/>
      <c r="U128" s="3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24"/>
      <c r="BE128" s="31"/>
      <c r="BF128" s="24"/>
      <c r="BG128" s="31"/>
      <c r="BH128" s="34"/>
      <c r="BI128" s="34"/>
      <c r="BJ128" s="34"/>
      <c r="BK128" s="34"/>
      <c r="BL128" s="34"/>
      <c r="BM128" s="34"/>
      <c r="BN128" s="163"/>
      <c r="BO128" s="34"/>
      <c r="BP128" s="24"/>
      <c r="BW128" s="8"/>
      <c r="BY128" s="5"/>
      <c r="CF128" s="8"/>
      <c r="CH128" s="5"/>
    </row>
    <row r="129" s="1" customFormat="1" spans="1:86">
      <c r="A129" s="4"/>
      <c r="B129" s="4"/>
      <c r="C129" s="24"/>
      <c r="D129" s="24"/>
      <c r="E129" s="24"/>
      <c r="F129" s="24"/>
      <c r="G129" s="24"/>
      <c r="H129" s="32"/>
      <c r="I129" s="32"/>
      <c r="J129" s="32"/>
      <c r="K129" s="24"/>
      <c r="L129" s="32"/>
      <c r="M129" s="32"/>
      <c r="N129" s="57"/>
      <c r="O129" s="34"/>
      <c r="P129" s="34"/>
      <c r="Q129" s="34"/>
      <c r="R129" s="34"/>
      <c r="S129" s="34"/>
      <c r="T129" s="34"/>
      <c r="U129" s="3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24"/>
      <c r="BE129" s="31"/>
      <c r="BF129" s="24"/>
      <c r="BG129" s="31"/>
      <c r="BH129" s="34"/>
      <c r="BI129" s="34"/>
      <c r="BJ129" s="34"/>
      <c r="BK129" s="34"/>
      <c r="BL129" s="34"/>
      <c r="BM129" s="34"/>
      <c r="BN129" s="163"/>
      <c r="BO129" s="34"/>
      <c r="BP129" s="24"/>
      <c r="BW129" s="8"/>
      <c r="BY129" s="5"/>
      <c r="CF129" s="8"/>
      <c r="CH129" s="5"/>
    </row>
    <row r="130" s="1" customFormat="1" spans="1:86">
      <c r="A130" s="4"/>
      <c r="B130" s="4"/>
      <c r="C130" s="24"/>
      <c r="D130" s="24"/>
      <c r="E130" s="24"/>
      <c r="F130" s="24"/>
      <c r="G130" s="24"/>
      <c r="H130" s="32"/>
      <c r="I130" s="32"/>
      <c r="J130" s="32"/>
      <c r="K130" s="24"/>
      <c r="L130" s="32"/>
      <c r="M130" s="32"/>
      <c r="N130" s="57"/>
      <c r="O130" s="34"/>
      <c r="P130" s="34"/>
      <c r="Q130" s="34"/>
      <c r="R130" s="34"/>
      <c r="S130" s="34"/>
      <c r="T130" s="34"/>
      <c r="U130" s="3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24"/>
      <c r="BE130" s="31"/>
      <c r="BF130" s="24"/>
      <c r="BG130" s="31"/>
      <c r="BH130" s="34"/>
      <c r="BI130" s="34"/>
      <c r="BJ130" s="34"/>
      <c r="BK130" s="34"/>
      <c r="BL130" s="34"/>
      <c r="BM130" s="34"/>
      <c r="BN130" s="163"/>
      <c r="BO130" s="34"/>
      <c r="BP130" s="24"/>
      <c r="BW130" s="8"/>
      <c r="BY130" s="5"/>
      <c r="CF130" s="8"/>
      <c r="CH130" s="5"/>
    </row>
    <row r="131" s="1" customFormat="1" spans="1:86">
      <c r="A131" s="4"/>
      <c r="B131" s="4"/>
      <c r="C131" s="24"/>
      <c r="D131" s="24"/>
      <c r="E131" s="24"/>
      <c r="F131" s="24"/>
      <c r="G131" s="24"/>
      <c r="H131" s="32"/>
      <c r="I131" s="32"/>
      <c r="J131" s="32"/>
      <c r="K131" s="24"/>
      <c r="L131" s="32"/>
      <c r="M131" s="32"/>
      <c r="N131" s="57"/>
      <c r="O131" s="34"/>
      <c r="P131" s="34"/>
      <c r="Q131" s="34"/>
      <c r="R131" s="34"/>
      <c r="S131" s="34"/>
      <c r="T131" s="34"/>
      <c r="U131" s="3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24"/>
      <c r="BE131" s="31"/>
      <c r="BF131" s="24"/>
      <c r="BG131" s="31"/>
      <c r="BH131" s="34"/>
      <c r="BI131" s="34"/>
      <c r="BJ131" s="34"/>
      <c r="BK131" s="34"/>
      <c r="BL131" s="34"/>
      <c r="BM131" s="34"/>
      <c r="BN131" s="163"/>
      <c r="BO131" s="34"/>
      <c r="BP131" s="24"/>
      <c r="BW131" s="8"/>
      <c r="BY131" s="5"/>
      <c r="CF131" s="8"/>
      <c r="CH131" s="5"/>
    </row>
    <row r="132" s="1" customFormat="1" spans="1:86">
      <c r="A132" s="4"/>
      <c r="B132" s="4"/>
      <c r="C132" s="24"/>
      <c r="D132" s="24"/>
      <c r="E132" s="24"/>
      <c r="F132" s="24"/>
      <c r="G132" s="24"/>
      <c r="H132" s="32"/>
      <c r="I132" s="32"/>
      <c r="J132" s="32"/>
      <c r="K132" s="24"/>
      <c r="L132" s="32"/>
      <c r="M132" s="32"/>
      <c r="N132" s="57"/>
      <c r="O132" s="34"/>
      <c r="P132" s="34"/>
      <c r="Q132" s="34"/>
      <c r="R132" s="34"/>
      <c r="S132" s="34"/>
      <c r="T132" s="34"/>
      <c r="U132" s="3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24"/>
      <c r="BE132" s="31"/>
      <c r="BF132" s="24"/>
      <c r="BG132" s="31"/>
      <c r="BH132" s="34"/>
      <c r="BI132" s="34"/>
      <c r="BJ132" s="34"/>
      <c r="BK132" s="34"/>
      <c r="BL132" s="34"/>
      <c r="BM132" s="34"/>
      <c r="BN132" s="163"/>
      <c r="BO132" s="34"/>
      <c r="BP132" s="24"/>
      <c r="BW132" s="8"/>
      <c r="BY132" s="5"/>
      <c r="CF132" s="8"/>
      <c r="CH132" s="5"/>
    </row>
    <row r="133" s="1" customFormat="1" spans="1:86">
      <c r="A133" s="4"/>
      <c r="B133" s="4"/>
      <c r="C133" s="24"/>
      <c r="D133" s="24"/>
      <c r="E133" s="24"/>
      <c r="F133" s="24"/>
      <c r="G133" s="24"/>
      <c r="H133" s="32"/>
      <c r="I133" s="32"/>
      <c r="J133" s="32"/>
      <c r="K133" s="24"/>
      <c r="L133" s="32"/>
      <c r="M133" s="32"/>
      <c r="N133" s="57"/>
      <c r="O133" s="34"/>
      <c r="P133" s="34"/>
      <c r="Q133" s="34"/>
      <c r="R133" s="34"/>
      <c r="S133" s="34"/>
      <c r="T133" s="34"/>
      <c r="U133" s="3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24"/>
      <c r="BE133" s="31"/>
      <c r="BF133" s="24"/>
      <c r="BG133" s="31"/>
      <c r="BH133" s="34"/>
      <c r="BI133" s="34"/>
      <c r="BJ133" s="34"/>
      <c r="BK133" s="34"/>
      <c r="BL133" s="34"/>
      <c r="BM133" s="34"/>
      <c r="BN133" s="163"/>
      <c r="BO133" s="34"/>
      <c r="BP133" s="24"/>
      <c r="BW133" s="8"/>
      <c r="BY133" s="5"/>
      <c r="CF133" s="8"/>
      <c r="CH133" s="5"/>
    </row>
    <row r="134" s="1" customFormat="1" spans="1:86">
      <c r="A134" s="4"/>
      <c r="B134" s="4"/>
      <c r="C134" s="24"/>
      <c r="D134" s="24"/>
      <c r="E134" s="24"/>
      <c r="F134" s="24"/>
      <c r="G134" s="24"/>
      <c r="H134" s="32"/>
      <c r="I134" s="32"/>
      <c r="J134" s="32"/>
      <c r="K134" s="24"/>
      <c r="L134" s="32"/>
      <c r="M134" s="32"/>
      <c r="N134" s="57"/>
      <c r="O134" s="34"/>
      <c r="P134" s="34"/>
      <c r="Q134" s="34"/>
      <c r="R134" s="34"/>
      <c r="S134" s="34"/>
      <c r="T134" s="34"/>
      <c r="U134" s="3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24"/>
      <c r="BE134" s="31"/>
      <c r="BF134" s="24"/>
      <c r="BG134" s="31"/>
      <c r="BH134" s="34"/>
      <c r="BI134" s="34"/>
      <c r="BJ134" s="34"/>
      <c r="BK134" s="34"/>
      <c r="BL134" s="34"/>
      <c r="BM134" s="34"/>
      <c r="BN134" s="163"/>
      <c r="BO134" s="34"/>
      <c r="BP134" s="24"/>
      <c r="BW134" s="8"/>
      <c r="BY134" s="5"/>
      <c r="CF134" s="8"/>
      <c r="CH134" s="5"/>
    </row>
    <row r="135" s="1" customFormat="1" spans="1:86">
      <c r="A135" s="4"/>
      <c r="B135" s="4"/>
      <c r="C135" s="24"/>
      <c r="D135" s="24"/>
      <c r="E135" s="24"/>
      <c r="F135" s="24"/>
      <c r="G135" s="24"/>
      <c r="H135" s="32"/>
      <c r="I135" s="32"/>
      <c r="J135" s="32"/>
      <c r="K135" s="24"/>
      <c r="L135" s="32"/>
      <c r="M135" s="32"/>
      <c r="N135" s="57"/>
      <c r="O135" s="34"/>
      <c r="P135" s="34"/>
      <c r="Q135" s="34"/>
      <c r="R135" s="34"/>
      <c r="S135" s="34"/>
      <c r="T135" s="34"/>
      <c r="U135" s="3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24"/>
      <c r="BE135" s="31"/>
      <c r="BF135" s="24"/>
      <c r="BG135" s="31"/>
      <c r="BH135" s="34"/>
      <c r="BI135" s="34"/>
      <c r="BJ135" s="34"/>
      <c r="BK135" s="34"/>
      <c r="BL135" s="34"/>
      <c r="BM135" s="34"/>
      <c r="BN135" s="163"/>
      <c r="BO135" s="34"/>
      <c r="BP135" s="24"/>
      <c r="BW135" s="8"/>
      <c r="BY135" s="5"/>
      <c r="CF135" s="8"/>
      <c r="CH135" s="5"/>
    </row>
    <row r="136" s="1" customFormat="1" spans="1:86">
      <c r="A136" s="4"/>
      <c r="B136" s="4"/>
      <c r="C136" s="24"/>
      <c r="D136" s="24"/>
      <c r="E136" s="24"/>
      <c r="F136" s="24"/>
      <c r="G136" s="24"/>
      <c r="H136" s="32"/>
      <c r="I136" s="32"/>
      <c r="J136" s="32"/>
      <c r="K136" s="24"/>
      <c r="L136" s="32"/>
      <c r="M136" s="32"/>
      <c r="N136" s="57"/>
      <c r="O136" s="34"/>
      <c r="P136" s="34"/>
      <c r="Q136" s="34"/>
      <c r="R136" s="34"/>
      <c r="S136" s="34"/>
      <c r="T136" s="34"/>
      <c r="U136" s="3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24"/>
      <c r="BE136" s="31"/>
      <c r="BF136" s="24"/>
      <c r="BG136" s="31"/>
      <c r="BH136" s="34"/>
      <c r="BI136" s="34"/>
      <c r="BJ136" s="34"/>
      <c r="BK136" s="34"/>
      <c r="BL136" s="34"/>
      <c r="BM136" s="34"/>
      <c r="BN136" s="163"/>
      <c r="BO136" s="34"/>
      <c r="BP136" s="24"/>
      <c r="BW136" s="8"/>
      <c r="BY136" s="5"/>
      <c r="CF136" s="8"/>
      <c r="CH136" s="5"/>
    </row>
    <row r="137" s="1" customFormat="1" spans="1:86">
      <c r="A137" s="4"/>
      <c r="B137" s="4"/>
      <c r="C137" s="24"/>
      <c r="D137" s="24"/>
      <c r="E137" s="24"/>
      <c r="F137" s="24"/>
      <c r="G137" s="24"/>
      <c r="H137" s="32"/>
      <c r="I137" s="32"/>
      <c r="J137" s="32"/>
      <c r="K137" s="24"/>
      <c r="L137" s="32"/>
      <c r="M137" s="32"/>
      <c r="N137" s="57"/>
      <c r="O137" s="34"/>
      <c r="P137" s="34"/>
      <c r="Q137" s="34"/>
      <c r="R137" s="34"/>
      <c r="S137" s="34"/>
      <c r="T137" s="34"/>
      <c r="U137" s="3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24"/>
      <c r="BE137" s="31"/>
      <c r="BF137" s="24"/>
      <c r="BG137" s="31"/>
      <c r="BH137" s="34"/>
      <c r="BI137" s="34"/>
      <c r="BJ137" s="34"/>
      <c r="BK137" s="34"/>
      <c r="BL137" s="34"/>
      <c r="BM137" s="34"/>
      <c r="BN137" s="163"/>
      <c r="BO137" s="34"/>
      <c r="BP137" s="24"/>
      <c r="BW137" s="8"/>
      <c r="BY137" s="5"/>
      <c r="CF137" s="8"/>
      <c r="CH137" s="5"/>
    </row>
    <row r="138" s="1" customFormat="1" spans="1:86">
      <c r="A138" s="4"/>
      <c r="B138" s="4"/>
      <c r="C138" s="24"/>
      <c r="D138" s="24"/>
      <c r="E138" s="24"/>
      <c r="F138" s="24"/>
      <c r="G138" s="24"/>
      <c r="H138" s="32"/>
      <c r="I138" s="32"/>
      <c r="J138" s="32"/>
      <c r="K138" s="24"/>
      <c r="L138" s="32"/>
      <c r="M138" s="32"/>
      <c r="N138" s="57"/>
      <c r="O138" s="34"/>
      <c r="P138" s="34"/>
      <c r="Q138" s="34"/>
      <c r="R138" s="34"/>
      <c r="S138" s="34"/>
      <c r="T138" s="34"/>
      <c r="U138" s="3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24"/>
      <c r="BE138" s="31"/>
      <c r="BF138" s="24"/>
      <c r="BG138" s="31"/>
      <c r="BH138" s="34"/>
      <c r="BI138" s="34"/>
      <c r="BJ138" s="34"/>
      <c r="BK138" s="34"/>
      <c r="BL138" s="34"/>
      <c r="BM138" s="34"/>
      <c r="BN138" s="163"/>
      <c r="BO138" s="34"/>
      <c r="BP138" s="24"/>
      <c r="BW138" s="8"/>
      <c r="BY138" s="5"/>
      <c r="CF138" s="8"/>
      <c r="CH138" s="5"/>
    </row>
    <row r="139" s="1" customFormat="1" spans="1:86">
      <c r="A139" s="4"/>
      <c r="B139" s="4"/>
      <c r="C139" s="24"/>
      <c r="D139" s="24"/>
      <c r="E139" s="24"/>
      <c r="F139" s="24"/>
      <c r="G139" s="24"/>
      <c r="H139" s="32"/>
      <c r="I139" s="32"/>
      <c r="J139" s="32"/>
      <c r="K139" s="24"/>
      <c r="L139" s="32"/>
      <c r="M139" s="32"/>
      <c r="N139" s="57"/>
      <c r="O139" s="34"/>
      <c r="P139" s="34"/>
      <c r="Q139" s="34"/>
      <c r="R139" s="34"/>
      <c r="S139" s="34"/>
      <c r="T139" s="34"/>
      <c r="U139" s="3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24"/>
      <c r="BE139" s="31"/>
      <c r="BF139" s="24"/>
      <c r="BG139" s="31"/>
      <c r="BH139" s="34"/>
      <c r="BI139" s="34"/>
      <c r="BJ139" s="34"/>
      <c r="BK139" s="34"/>
      <c r="BL139" s="34"/>
      <c r="BM139" s="34"/>
      <c r="BN139" s="163"/>
      <c r="BO139" s="34"/>
      <c r="BP139" s="24"/>
      <c r="BW139" s="8"/>
      <c r="BY139" s="5"/>
      <c r="CF139" s="8"/>
      <c r="CH139" s="5"/>
    </row>
    <row r="140" s="1" customFormat="1" spans="1:86">
      <c r="A140" s="4"/>
      <c r="B140" s="4"/>
      <c r="C140" s="24"/>
      <c r="D140" s="24"/>
      <c r="E140" s="24"/>
      <c r="F140" s="24"/>
      <c r="G140" s="24"/>
      <c r="H140" s="32"/>
      <c r="I140" s="32"/>
      <c r="J140" s="32"/>
      <c r="K140" s="24"/>
      <c r="L140" s="32"/>
      <c r="M140" s="32"/>
      <c r="N140" s="57"/>
      <c r="O140" s="34"/>
      <c r="P140" s="34"/>
      <c r="Q140" s="34"/>
      <c r="R140" s="34"/>
      <c r="S140" s="34"/>
      <c r="T140" s="34"/>
      <c r="U140" s="3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24"/>
      <c r="BE140" s="31"/>
      <c r="BF140" s="24"/>
      <c r="BG140" s="31"/>
      <c r="BH140" s="34"/>
      <c r="BI140" s="34"/>
      <c r="BJ140" s="34"/>
      <c r="BK140" s="34"/>
      <c r="BL140" s="34"/>
      <c r="BM140" s="34"/>
      <c r="BN140" s="163"/>
      <c r="BO140" s="34"/>
      <c r="BP140" s="24"/>
      <c r="BW140" s="8"/>
      <c r="BY140" s="5"/>
      <c r="CF140" s="8"/>
      <c r="CH140" s="5"/>
    </row>
    <row r="141" s="1" customFormat="1" spans="1:86">
      <c r="A141" s="4"/>
      <c r="B141" s="4"/>
      <c r="C141" s="24"/>
      <c r="D141" s="24"/>
      <c r="E141" s="24"/>
      <c r="F141" s="24"/>
      <c r="G141" s="24"/>
      <c r="H141" s="32"/>
      <c r="I141" s="32"/>
      <c r="J141" s="32"/>
      <c r="K141" s="24"/>
      <c r="L141" s="32"/>
      <c r="M141" s="32"/>
      <c r="N141" s="57"/>
      <c r="O141" s="34"/>
      <c r="P141" s="34"/>
      <c r="Q141" s="34"/>
      <c r="R141" s="34"/>
      <c r="S141" s="34"/>
      <c r="T141" s="34"/>
      <c r="U141" s="3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24"/>
      <c r="BE141" s="31"/>
      <c r="BF141" s="24"/>
      <c r="BG141" s="31"/>
      <c r="BH141" s="34"/>
      <c r="BI141" s="34"/>
      <c r="BJ141" s="34"/>
      <c r="BK141" s="34"/>
      <c r="BL141" s="34"/>
      <c r="BM141" s="34"/>
      <c r="BN141" s="163"/>
      <c r="BO141" s="34"/>
      <c r="BP141" s="24"/>
      <c r="BW141" s="8"/>
      <c r="BY141" s="5"/>
      <c r="CF141" s="8"/>
      <c r="CH141" s="5"/>
    </row>
    <row r="142" s="1" customFormat="1" spans="1:86">
      <c r="A142" s="4"/>
      <c r="B142" s="4"/>
      <c r="C142" s="24"/>
      <c r="D142" s="24"/>
      <c r="E142" s="24"/>
      <c r="F142" s="24"/>
      <c r="G142" s="24"/>
      <c r="H142" s="32"/>
      <c r="I142" s="32"/>
      <c r="J142" s="32"/>
      <c r="K142" s="24"/>
      <c r="L142" s="32"/>
      <c r="M142" s="32"/>
      <c r="N142" s="57"/>
      <c r="O142" s="34"/>
      <c r="P142" s="34"/>
      <c r="Q142" s="34"/>
      <c r="R142" s="34"/>
      <c r="S142" s="34"/>
      <c r="T142" s="34"/>
      <c r="U142" s="3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24"/>
      <c r="BE142" s="31"/>
      <c r="BF142" s="24"/>
      <c r="BG142" s="31"/>
      <c r="BH142" s="34"/>
      <c r="BI142" s="34"/>
      <c r="BJ142" s="34"/>
      <c r="BK142" s="34"/>
      <c r="BL142" s="34"/>
      <c r="BM142" s="34"/>
      <c r="BN142" s="163"/>
      <c r="BO142" s="34"/>
      <c r="BP142" s="24"/>
      <c r="BW142" s="8"/>
      <c r="BY142" s="5"/>
      <c r="CF142" s="8"/>
      <c r="CH142" s="5"/>
    </row>
    <row r="143" s="1" customFormat="1" spans="1:86">
      <c r="A143" s="4"/>
      <c r="B143" s="4"/>
      <c r="C143" s="24"/>
      <c r="D143" s="24"/>
      <c r="E143" s="24"/>
      <c r="F143" s="24"/>
      <c r="G143" s="24"/>
      <c r="H143" s="32"/>
      <c r="I143" s="32"/>
      <c r="J143" s="32"/>
      <c r="K143" s="24"/>
      <c r="L143" s="32"/>
      <c r="M143" s="32"/>
      <c r="N143" s="57"/>
      <c r="O143" s="34"/>
      <c r="P143" s="34"/>
      <c r="Q143" s="34"/>
      <c r="R143" s="34"/>
      <c r="S143" s="34"/>
      <c r="T143" s="34"/>
      <c r="U143" s="3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24"/>
      <c r="BE143" s="31"/>
      <c r="BF143" s="24"/>
      <c r="BG143" s="31"/>
      <c r="BH143" s="34"/>
      <c r="BI143" s="34"/>
      <c r="BJ143" s="34"/>
      <c r="BK143" s="34"/>
      <c r="BL143" s="34"/>
      <c r="BM143" s="34"/>
      <c r="BN143" s="163"/>
      <c r="BO143" s="34"/>
      <c r="BP143" s="24"/>
      <c r="BW143" s="8"/>
      <c r="BY143" s="5"/>
      <c r="CF143" s="8"/>
      <c r="CH143" s="5"/>
    </row>
    <row r="144" s="1" customFormat="1" spans="1:86">
      <c r="A144" s="4"/>
      <c r="B144" s="4"/>
      <c r="C144" s="24"/>
      <c r="D144" s="24"/>
      <c r="E144" s="24"/>
      <c r="F144" s="24"/>
      <c r="G144" s="24"/>
      <c r="H144" s="32"/>
      <c r="I144" s="32"/>
      <c r="J144" s="32"/>
      <c r="K144" s="24"/>
      <c r="L144" s="32"/>
      <c r="M144" s="32"/>
      <c r="N144" s="57"/>
      <c r="O144" s="34"/>
      <c r="P144" s="34"/>
      <c r="Q144" s="34"/>
      <c r="R144" s="34"/>
      <c r="S144" s="34"/>
      <c r="T144" s="34"/>
      <c r="U144" s="3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24"/>
      <c r="BE144" s="31"/>
      <c r="BF144" s="24"/>
      <c r="BG144" s="31"/>
      <c r="BH144" s="34"/>
      <c r="BI144" s="34"/>
      <c r="BJ144" s="34"/>
      <c r="BK144" s="34"/>
      <c r="BL144" s="34"/>
      <c r="BM144" s="34"/>
      <c r="BN144" s="163"/>
      <c r="BO144" s="34"/>
      <c r="BP144" s="24"/>
      <c r="BW144" s="8"/>
      <c r="BY144" s="5"/>
      <c r="CF144" s="8"/>
      <c r="CH144" s="5"/>
    </row>
    <row r="145" s="1" customFormat="1" spans="1:86">
      <c r="A145" s="4"/>
      <c r="B145" s="4"/>
      <c r="C145" s="24"/>
      <c r="D145" s="24"/>
      <c r="E145" s="24"/>
      <c r="F145" s="24"/>
      <c r="G145" s="24"/>
      <c r="H145" s="32"/>
      <c r="I145" s="32"/>
      <c r="J145" s="32"/>
      <c r="K145" s="24"/>
      <c r="L145" s="32"/>
      <c r="M145" s="32"/>
      <c r="N145" s="57"/>
      <c r="O145" s="34"/>
      <c r="P145" s="34"/>
      <c r="Q145" s="34"/>
      <c r="R145" s="34"/>
      <c r="S145" s="34"/>
      <c r="T145" s="34"/>
      <c r="U145" s="3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24"/>
      <c r="BE145" s="31"/>
      <c r="BF145" s="24"/>
      <c r="BG145" s="31"/>
      <c r="BH145" s="34"/>
      <c r="BI145" s="34"/>
      <c r="BJ145" s="34"/>
      <c r="BK145" s="34"/>
      <c r="BL145" s="34"/>
      <c r="BM145" s="34"/>
      <c r="BN145" s="163"/>
      <c r="BO145" s="34"/>
      <c r="BP145" s="24"/>
      <c r="BW145" s="8"/>
      <c r="BY145" s="5"/>
      <c r="CF145" s="8"/>
      <c r="CH145" s="5"/>
    </row>
    <row r="146" s="1" customFormat="1" spans="1:86">
      <c r="A146" s="4"/>
      <c r="B146" s="4"/>
      <c r="C146" s="24"/>
      <c r="D146" s="24"/>
      <c r="E146" s="24"/>
      <c r="F146" s="24"/>
      <c r="G146" s="24"/>
      <c r="H146" s="32"/>
      <c r="I146" s="32"/>
      <c r="J146" s="32"/>
      <c r="K146" s="24"/>
      <c r="L146" s="32"/>
      <c r="M146" s="32"/>
      <c r="N146" s="57"/>
      <c r="O146" s="34"/>
      <c r="P146" s="34"/>
      <c r="Q146" s="34"/>
      <c r="R146" s="34"/>
      <c r="S146" s="34"/>
      <c r="T146" s="34"/>
      <c r="U146" s="3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24"/>
      <c r="BE146" s="31"/>
      <c r="BF146" s="24"/>
      <c r="BG146" s="31"/>
      <c r="BH146" s="34"/>
      <c r="BI146" s="34"/>
      <c r="BJ146" s="34"/>
      <c r="BK146" s="34"/>
      <c r="BL146" s="34"/>
      <c r="BM146" s="34"/>
      <c r="BN146" s="163"/>
      <c r="BO146" s="34"/>
      <c r="BP146" s="24"/>
      <c r="BW146" s="8"/>
      <c r="BY146" s="5"/>
      <c r="CF146" s="8"/>
      <c r="CH146" s="5"/>
    </row>
    <row r="147" s="1" customFormat="1" spans="1:86">
      <c r="A147" s="4"/>
      <c r="B147" s="4"/>
      <c r="C147" s="24"/>
      <c r="D147" s="24"/>
      <c r="E147" s="24"/>
      <c r="F147" s="24"/>
      <c r="G147" s="24"/>
      <c r="H147" s="32"/>
      <c r="I147" s="32"/>
      <c r="J147" s="32"/>
      <c r="K147" s="24"/>
      <c r="L147" s="32"/>
      <c r="M147" s="32"/>
      <c r="N147" s="57"/>
      <c r="O147" s="34"/>
      <c r="P147" s="34"/>
      <c r="Q147" s="34"/>
      <c r="R147" s="34"/>
      <c r="S147" s="34"/>
      <c r="T147" s="34"/>
      <c r="U147" s="3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24"/>
      <c r="BE147" s="31"/>
      <c r="BF147" s="24"/>
      <c r="BG147" s="31"/>
      <c r="BH147" s="34"/>
      <c r="BI147" s="34"/>
      <c r="BJ147" s="34"/>
      <c r="BK147" s="34"/>
      <c r="BL147" s="34"/>
      <c r="BM147" s="34"/>
      <c r="BN147" s="163"/>
      <c r="BO147" s="34"/>
      <c r="BP147" s="24"/>
      <c r="BW147" s="8"/>
      <c r="BY147" s="5"/>
      <c r="CF147" s="8"/>
      <c r="CH147" s="5"/>
    </row>
    <row r="148" s="1" customFormat="1" spans="1:86">
      <c r="A148" s="4"/>
      <c r="B148" s="4"/>
      <c r="C148" s="24"/>
      <c r="D148" s="24"/>
      <c r="E148" s="24"/>
      <c r="F148" s="24"/>
      <c r="G148" s="24"/>
      <c r="H148" s="32"/>
      <c r="I148" s="32"/>
      <c r="J148" s="32"/>
      <c r="K148" s="24"/>
      <c r="L148" s="32"/>
      <c r="M148" s="32"/>
      <c r="N148" s="57"/>
      <c r="O148" s="34"/>
      <c r="P148" s="34"/>
      <c r="Q148" s="34"/>
      <c r="R148" s="34"/>
      <c r="S148" s="34"/>
      <c r="T148" s="34"/>
      <c r="U148" s="3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24"/>
      <c r="BE148" s="31"/>
      <c r="BF148" s="24"/>
      <c r="BG148" s="31"/>
      <c r="BH148" s="34"/>
      <c r="BI148" s="34"/>
      <c r="BJ148" s="34"/>
      <c r="BK148" s="34"/>
      <c r="BL148" s="34"/>
      <c r="BM148" s="34"/>
      <c r="BN148" s="163"/>
      <c r="BO148" s="34"/>
      <c r="BP148" s="24"/>
      <c r="BW148" s="8"/>
      <c r="BY148" s="5"/>
      <c r="CF148" s="8"/>
      <c r="CH148" s="5"/>
    </row>
    <row r="149" s="1" customFormat="1" spans="1:86">
      <c r="A149" s="4"/>
      <c r="B149" s="4"/>
      <c r="C149" s="24"/>
      <c r="D149" s="24"/>
      <c r="E149" s="24"/>
      <c r="F149" s="24"/>
      <c r="G149" s="24"/>
      <c r="H149" s="32"/>
      <c r="I149" s="32"/>
      <c r="J149" s="32"/>
      <c r="K149" s="24"/>
      <c r="L149" s="32"/>
      <c r="M149" s="32"/>
      <c r="N149" s="57"/>
      <c r="O149" s="34"/>
      <c r="P149" s="34"/>
      <c r="Q149" s="34"/>
      <c r="R149" s="34"/>
      <c r="S149" s="34"/>
      <c r="T149" s="34"/>
      <c r="U149" s="3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24"/>
      <c r="BE149" s="31"/>
      <c r="BF149" s="24"/>
      <c r="BG149" s="31"/>
      <c r="BH149" s="34"/>
      <c r="BI149" s="34"/>
      <c r="BJ149" s="34"/>
      <c r="BK149" s="34"/>
      <c r="BL149" s="34"/>
      <c r="BM149" s="34"/>
      <c r="BN149" s="163"/>
      <c r="BO149" s="34"/>
      <c r="BP149" s="24"/>
      <c r="BW149" s="8"/>
      <c r="BY149" s="5"/>
      <c r="CF149" s="8"/>
      <c r="CH149" s="5"/>
    </row>
    <row r="150" s="1" customFormat="1" spans="1:86">
      <c r="A150" s="4"/>
      <c r="B150" s="4"/>
      <c r="C150" s="24"/>
      <c r="D150" s="24"/>
      <c r="E150" s="24"/>
      <c r="F150" s="24"/>
      <c r="G150" s="24"/>
      <c r="H150" s="32"/>
      <c r="I150" s="32"/>
      <c r="J150" s="32"/>
      <c r="K150" s="24"/>
      <c r="L150" s="32"/>
      <c r="M150" s="32"/>
      <c r="N150" s="57"/>
      <c r="O150" s="34"/>
      <c r="P150" s="34"/>
      <c r="Q150" s="34"/>
      <c r="R150" s="34"/>
      <c r="S150" s="34"/>
      <c r="T150" s="34"/>
      <c r="U150" s="3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24"/>
      <c r="BE150" s="31"/>
      <c r="BF150" s="24"/>
      <c r="BG150" s="31"/>
      <c r="BH150" s="34"/>
      <c r="BI150" s="34"/>
      <c r="BJ150" s="34"/>
      <c r="BK150" s="34"/>
      <c r="BL150" s="34"/>
      <c r="BM150" s="34"/>
      <c r="BN150" s="163"/>
      <c r="BO150" s="34"/>
      <c r="BP150" s="24"/>
      <c r="BW150" s="8"/>
      <c r="BY150" s="5"/>
      <c r="CF150" s="8"/>
      <c r="CH150" s="5"/>
    </row>
    <row r="151" s="1" customFormat="1" spans="1:86">
      <c r="A151" s="4"/>
      <c r="B151" s="4"/>
      <c r="C151" s="24"/>
      <c r="D151" s="24"/>
      <c r="E151" s="24"/>
      <c r="F151" s="24"/>
      <c r="G151" s="24"/>
      <c r="H151" s="32"/>
      <c r="I151" s="32"/>
      <c r="J151" s="32"/>
      <c r="K151" s="24"/>
      <c r="L151" s="32"/>
      <c r="M151" s="32"/>
      <c r="N151" s="57"/>
      <c r="O151" s="34"/>
      <c r="P151" s="34"/>
      <c r="Q151" s="34"/>
      <c r="R151" s="34"/>
      <c r="S151" s="34"/>
      <c r="T151" s="34"/>
      <c r="U151" s="3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24"/>
      <c r="BE151" s="31"/>
      <c r="BF151" s="24"/>
      <c r="BG151" s="31"/>
      <c r="BH151" s="34"/>
      <c r="BI151" s="34"/>
      <c r="BJ151" s="34"/>
      <c r="BK151" s="34"/>
      <c r="BL151" s="34"/>
      <c r="BM151" s="34"/>
      <c r="BN151" s="163"/>
      <c r="BO151" s="34"/>
      <c r="BP151" s="24"/>
      <c r="BW151" s="8"/>
      <c r="BY151" s="5"/>
      <c r="CF151" s="8"/>
      <c r="CH151" s="5"/>
    </row>
    <row r="152" s="1" customFormat="1" spans="1:86">
      <c r="A152" s="4"/>
      <c r="B152" s="4"/>
      <c r="C152" s="24"/>
      <c r="D152" s="24"/>
      <c r="E152" s="24"/>
      <c r="F152" s="24"/>
      <c r="G152" s="24"/>
      <c r="H152" s="32"/>
      <c r="I152" s="32"/>
      <c r="J152" s="32"/>
      <c r="K152" s="24"/>
      <c r="L152" s="32"/>
      <c r="M152" s="32"/>
      <c r="N152" s="57"/>
      <c r="O152" s="34"/>
      <c r="P152" s="34"/>
      <c r="Q152" s="34"/>
      <c r="R152" s="34"/>
      <c r="S152" s="34"/>
      <c r="T152" s="34"/>
      <c r="U152" s="3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24"/>
      <c r="BE152" s="31"/>
      <c r="BF152" s="24"/>
      <c r="BG152" s="31"/>
      <c r="BH152" s="34"/>
      <c r="BI152" s="34"/>
      <c r="BJ152" s="34"/>
      <c r="BK152" s="34"/>
      <c r="BL152" s="34"/>
      <c r="BM152" s="34"/>
      <c r="BN152" s="163"/>
      <c r="BO152" s="34"/>
      <c r="BP152" s="24"/>
      <c r="BW152" s="8"/>
      <c r="BY152" s="5"/>
      <c r="CF152" s="8"/>
      <c r="CH152" s="5"/>
    </row>
    <row r="153" s="1" customFormat="1" spans="1:86">
      <c r="A153" s="4"/>
      <c r="B153" s="4"/>
      <c r="C153" s="24"/>
      <c r="D153" s="24"/>
      <c r="E153" s="24"/>
      <c r="F153" s="24"/>
      <c r="G153" s="24"/>
      <c r="H153" s="32"/>
      <c r="I153" s="32"/>
      <c r="J153" s="32"/>
      <c r="K153" s="24"/>
      <c r="L153" s="32"/>
      <c r="M153" s="32"/>
      <c r="N153" s="57"/>
      <c r="O153" s="34"/>
      <c r="P153" s="34"/>
      <c r="Q153" s="34"/>
      <c r="R153" s="34"/>
      <c r="S153" s="34"/>
      <c r="T153" s="34"/>
      <c r="U153" s="3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24"/>
      <c r="BE153" s="31"/>
      <c r="BF153" s="24"/>
      <c r="BG153" s="31"/>
      <c r="BH153" s="34"/>
      <c r="BI153" s="34"/>
      <c r="BJ153" s="34"/>
      <c r="BK153" s="34"/>
      <c r="BL153" s="34"/>
      <c r="BM153" s="34"/>
      <c r="BN153" s="163"/>
      <c r="BO153" s="34"/>
      <c r="BP153" s="24"/>
      <c r="BW153" s="8"/>
      <c r="BY153" s="5"/>
      <c r="CF153" s="8"/>
      <c r="CH153" s="5"/>
    </row>
    <row r="154" s="1" customFormat="1" spans="1:86">
      <c r="A154" s="4"/>
      <c r="B154" s="4"/>
      <c r="C154" s="24"/>
      <c r="D154" s="24"/>
      <c r="E154" s="24"/>
      <c r="F154" s="24"/>
      <c r="G154" s="24"/>
      <c r="H154" s="32"/>
      <c r="I154" s="32"/>
      <c r="J154" s="32"/>
      <c r="K154" s="24"/>
      <c r="L154" s="32"/>
      <c r="M154" s="32"/>
      <c r="N154" s="57"/>
      <c r="O154" s="34"/>
      <c r="P154" s="34"/>
      <c r="Q154" s="34"/>
      <c r="R154" s="34"/>
      <c r="S154" s="34"/>
      <c r="T154" s="34"/>
      <c r="U154" s="3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24"/>
      <c r="BE154" s="31"/>
      <c r="BF154" s="24"/>
      <c r="BG154" s="31"/>
      <c r="BH154" s="34"/>
      <c r="BI154" s="34"/>
      <c r="BJ154" s="34"/>
      <c r="BK154" s="34"/>
      <c r="BL154" s="34"/>
      <c r="BM154" s="34"/>
      <c r="BN154" s="163"/>
      <c r="BO154" s="34"/>
      <c r="BP154" s="24"/>
      <c r="BW154" s="8"/>
      <c r="BY154" s="5"/>
      <c r="CF154" s="8"/>
      <c r="CH154" s="5"/>
    </row>
    <row r="155" s="1" customFormat="1" spans="1:86">
      <c r="A155" s="4"/>
      <c r="B155" s="4"/>
      <c r="C155" s="24"/>
      <c r="D155" s="24"/>
      <c r="E155" s="24"/>
      <c r="F155" s="24"/>
      <c r="G155" s="24"/>
      <c r="H155" s="32"/>
      <c r="I155" s="32"/>
      <c r="J155" s="32"/>
      <c r="K155" s="24"/>
      <c r="L155" s="32"/>
      <c r="M155" s="32"/>
      <c r="N155" s="57"/>
      <c r="O155" s="34"/>
      <c r="P155" s="34"/>
      <c r="Q155" s="34"/>
      <c r="R155" s="34"/>
      <c r="S155" s="34"/>
      <c r="T155" s="34"/>
      <c r="U155" s="3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24"/>
      <c r="BE155" s="31"/>
      <c r="BF155" s="24"/>
      <c r="BG155" s="31"/>
      <c r="BH155" s="34"/>
      <c r="BI155" s="34"/>
      <c r="BJ155" s="34"/>
      <c r="BK155" s="34"/>
      <c r="BL155" s="34"/>
      <c r="BM155" s="34"/>
      <c r="BN155" s="163"/>
      <c r="BO155" s="34"/>
      <c r="BP155" s="24"/>
      <c r="BW155" s="8"/>
      <c r="BY155" s="5"/>
      <c r="CF155" s="8"/>
      <c r="CH155" s="5"/>
    </row>
    <row r="156" s="1" customFormat="1" spans="1:86">
      <c r="A156" s="4"/>
      <c r="B156" s="4"/>
      <c r="C156" s="24"/>
      <c r="D156" s="24"/>
      <c r="E156" s="24"/>
      <c r="F156" s="24"/>
      <c r="G156" s="24"/>
      <c r="H156" s="32"/>
      <c r="I156" s="32"/>
      <c r="J156" s="32"/>
      <c r="K156" s="24"/>
      <c r="L156" s="32"/>
      <c r="M156" s="32"/>
      <c r="N156" s="57"/>
      <c r="O156" s="34"/>
      <c r="P156" s="34"/>
      <c r="Q156" s="34"/>
      <c r="R156" s="34"/>
      <c r="S156" s="34"/>
      <c r="T156" s="34"/>
      <c r="U156" s="3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24"/>
      <c r="BE156" s="31"/>
      <c r="BF156" s="24"/>
      <c r="BG156" s="31"/>
      <c r="BH156" s="34"/>
      <c r="BI156" s="34"/>
      <c r="BJ156" s="34"/>
      <c r="BK156" s="34"/>
      <c r="BL156" s="34"/>
      <c r="BM156" s="34"/>
      <c r="BN156" s="163"/>
      <c r="BO156" s="34"/>
      <c r="BP156" s="24"/>
      <c r="BW156" s="8"/>
      <c r="BY156" s="5"/>
      <c r="CF156" s="8"/>
      <c r="CH156" s="5"/>
    </row>
    <row r="157" s="1" customFormat="1" spans="1:86">
      <c r="A157" s="4"/>
      <c r="B157" s="4"/>
      <c r="C157" s="24"/>
      <c r="D157" s="24"/>
      <c r="E157" s="24"/>
      <c r="F157" s="24"/>
      <c r="G157" s="24"/>
      <c r="H157" s="32"/>
      <c r="I157" s="32"/>
      <c r="J157" s="32"/>
      <c r="K157" s="24"/>
      <c r="L157" s="32"/>
      <c r="M157" s="32"/>
      <c r="N157" s="57"/>
      <c r="O157" s="34"/>
      <c r="P157" s="34"/>
      <c r="Q157" s="34"/>
      <c r="R157" s="34"/>
      <c r="S157" s="34"/>
      <c r="T157" s="34"/>
      <c r="U157" s="3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24"/>
      <c r="BE157" s="31"/>
      <c r="BF157" s="24"/>
      <c r="BG157" s="31"/>
      <c r="BH157" s="34"/>
      <c r="BI157" s="34"/>
      <c r="BJ157" s="34"/>
      <c r="BK157" s="34"/>
      <c r="BL157" s="34"/>
      <c r="BM157" s="34"/>
      <c r="BN157" s="163"/>
      <c r="BO157" s="34"/>
      <c r="BP157" s="24"/>
      <c r="BW157" s="8"/>
      <c r="BY157" s="5"/>
      <c r="CF157" s="8"/>
      <c r="CH157" s="5"/>
    </row>
    <row r="158" s="1" customFormat="1" spans="1:86">
      <c r="A158" s="4"/>
      <c r="B158" s="4"/>
      <c r="C158" s="24"/>
      <c r="D158" s="24"/>
      <c r="E158" s="24"/>
      <c r="F158" s="24"/>
      <c r="G158" s="24"/>
      <c r="H158" s="32"/>
      <c r="I158" s="32"/>
      <c r="J158" s="32"/>
      <c r="K158" s="24"/>
      <c r="L158" s="32"/>
      <c r="M158" s="32"/>
      <c r="N158" s="57"/>
      <c r="O158" s="34"/>
      <c r="P158" s="34"/>
      <c r="Q158" s="34"/>
      <c r="R158" s="34"/>
      <c r="S158" s="34"/>
      <c r="T158" s="34"/>
      <c r="U158" s="3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24"/>
      <c r="BE158" s="31"/>
      <c r="BF158" s="24"/>
      <c r="BG158" s="31"/>
      <c r="BH158" s="34"/>
      <c r="BI158" s="34"/>
      <c r="BJ158" s="34"/>
      <c r="BK158" s="34"/>
      <c r="BL158" s="34"/>
      <c r="BM158" s="34"/>
      <c r="BN158" s="163"/>
      <c r="BO158" s="34"/>
      <c r="BP158" s="24"/>
      <c r="BW158" s="8"/>
      <c r="BY158" s="5"/>
      <c r="CF158" s="8"/>
      <c r="CH158" s="5"/>
    </row>
    <row r="159" s="1" customFormat="1" spans="1:86">
      <c r="A159" s="4"/>
      <c r="B159" s="4"/>
      <c r="C159" s="24"/>
      <c r="D159" s="24"/>
      <c r="E159" s="24"/>
      <c r="F159" s="24"/>
      <c r="G159" s="24"/>
      <c r="H159" s="32"/>
      <c r="I159" s="32"/>
      <c r="J159" s="32"/>
      <c r="K159" s="24"/>
      <c r="L159" s="32"/>
      <c r="M159" s="32"/>
      <c r="N159" s="57"/>
      <c r="O159" s="34"/>
      <c r="P159" s="34"/>
      <c r="Q159" s="34"/>
      <c r="R159" s="34"/>
      <c r="S159" s="34"/>
      <c r="T159" s="34"/>
      <c r="U159" s="3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24"/>
      <c r="BE159" s="31"/>
      <c r="BF159" s="24"/>
      <c r="BG159" s="31"/>
      <c r="BH159" s="34"/>
      <c r="BI159" s="34"/>
      <c r="BJ159" s="34"/>
      <c r="BK159" s="34"/>
      <c r="BL159" s="34"/>
      <c r="BM159" s="34"/>
      <c r="BN159" s="163"/>
      <c r="BO159" s="34"/>
      <c r="BP159" s="24"/>
      <c r="BW159" s="8"/>
      <c r="BY159" s="5"/>
      <c r="CF159" s="8"/>
      <c r="CH159" s="5"/>
    </row>
    <row r="160" s="1" customFormat="1" spans="1:86">
      <c r="A160" s="4"/>
      <c r="B160" s="4"/>
      <c r="C160" s="24"/>
      <c r="D160" s="24"/>
      <c r="E160" s="24"/>
      <c r="F160" s="24"/>
      <c r="G160" s="24"/>
      <c r="H160" s="32"/>
      <c r="I160" s="32"/>
      <c r="J160" s="32"/>
      <c r="K160" s="24"/>
      <c r="L160" s="32"/>
      <c r="M160" s="32"/>
      <c r="N160" s="57"/>
      <c r="O160" s="34"/>
      <c r="P160" s="34"/>
      <c r="Q160" s="34"/>
      <c r="R160" s="34"/>
      <c r="S160" s="34"/>
      <c r="T160" s="34"/>
      <c r="U160" s="3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24"/>
      <c r="BE160" s="31"/>
      <c r="BF160" s="24"/>
      <c r="BG160" s="31"/>
      <c r="BH160" s="34"/>
      <c r="BI160" s="34"/>
      <c r="BJ160" s="34"/>
      <c r="BK160" s="34"/>
      <c r="BL160" s="34"/>
      <c r="BM160" s="34"/>
      <c r="BN160" s="163"/>
      <c r="BO160" s="34"/>
      <c r="BP160" s="24"/>
      <c r="BW160" s="8"/>
      <c r="BY160" s="5"/>
      <c r="CF160" s="8"/>
      <c r="CH160" s="5"/>
    </row>
    <row r="161" s="1" customFormat="1" spans="1:86">
      <c r="A161" s="4"/>
      <c r="B161" s="4"/>
      <c r="C161" s="24"/>
      <c r="D161" s="24"/>
      <c r="E161" s="24"/>
      <c r="F161" s="24"/>
      <c r="G161" s="24"/>
      <c r="H161" s="32"/>
      <c r="I161" s="32"/>
      <c r="J161" s="32"/>
      <c r="K161" s="24"/>
      <c r="L161" s="32"/>
      <c r="M161" s="32"/>
      <c r="N161" s="57"/>
      <c r="O161" s="34"/>
      <c r="P161" s="34"/>
      <c r="Q161" s="34"/>
      <c r="R161" s="34"/>
      <c r="S161" s="34"/>
      <c r="T161" s="34"/>
      <c r="U161" s="3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24"/>
      <c r="BE161" s="31"/>
      <c r="BF161" s="24"/>
      <c r="BG161" s="31"/>
      <c r="BH161" s="34"/>
      <c r="BI161" s="34"/>
      <c r="BJ161" s="34"/>
      <c r="BK161" s="34"/>
      <c r="BL161" s="34"/>
      <c r="BM161" s="34"/>
      <c r="BN161" s="163"/>
      <c r="BO161" s="34"/>
      <c r="BP161" s="24"/>
      <c r="BW161" s="8"/>
      <c r="BY161" s="5"/>
      <c r="CF161" s="8"/>
      <c r="CH161" s="5"/>
    </row>
    <row r="162" s="1" customFormat="1" spans="1:86">
      <c r="A162" s="4"/>
      <c r="B162" s="4"/>
      <c r="C162" s="24"/>
      <c r="D162" s="24"/>
      <c r="E162" s="24"/>
      <c r="F162" s="24"/>
      <c r="G162" s="24"/>
      <c r="H162" s="32"/>
      <c r="I162" s="32"/>
      <c r="J162" s="32"/>
      <c r="K162" s="24"/>
      <c r="L162" s="32"/>
      <c r="M162" s="32"/>
      <c r="N162" s="57"/>
      <c r="O162" s="34"/>
      <c r="P162" s="34"/>
      <c r="Q162" s="34"/>
      <c r="R162" s="34"/>
      <c r="S162" s="34"/>
      <c r="T162" s="34"/>
      <c r="U162" s="3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24"/>
      <c r="BE162" s="31"/>
      <c r="BF162" s="24"/>
      <c r="BG162" s="31"/>
      <c r="BH162" s="34"/>
      <c r="BI162" s="34"/>
      <c r="BJ162" s="34"/>
      <c r="BK162" s="34"/>
      <c r="BL162" s="34"/>
      <c r="BM162" s="34"/>
      <c r="BN162" s="163"/>
      <c r="BO162" s="34"/>
      <c r="BP162" s="24"/>
      <c r="BW162" s="8"/>
      <c r="BY162" s="5"/>
      <c r="CF162" s="8"/>
      <c r="CH162" s="5"/>
    </row>
    <row r="163" s="1" customFormat="1" spans="1:86">
      <c r="A163" s="4"/>
      <c r="B163" s="4"/>
      <c r="C163" s="24"/>
      <c r="D163" s="24"/>
      <c r="E163" s="24"/>
      <c r="F163" s="24"/>
      <c r="G163" s="24"/>
      <c r="H163" s="32"/>
      <c r="I163" s="32"/>
      <c r="J163" s="32"/>
      <c r="K163" s="24"/>
      <c r="L163" s="32"/>
      <c r="M163" s="32"/>
      <c r="N163" s="57"/>
      <c r="O163" s="34"/>
      <c r="P163" s="34"/>
      <c r="Q163" s="34"/>
      <c r="R163" s="34"/>
      <c r="S163" s="34"/>
      <c r="T163" s="34"/>
      <c r="U163" s="3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24"/>
      <c r="BE163" s="31"/>
      <c r="BF163" s="24"/>
      <c r="BG163" s="31"/>
      <c r="BH163" s="34"/>
      <c r="BI163" s="34"/>
      <c r="BJ163" s="34"/>
      <c r="BK163" s="34"/>
      <c r="BL163" s="34"/>
      <c r="BM163" s="34"/>
      <c r="BN163" s="163"/>
      <c r="BO163" s="34"/>
      <c r="BP163" s="24"/>
      <c r="BW163" s="8"/>
      <c r="BY163" s="5"/>
      <c r="CF163" s="8"/>
      <c r="CH163" s="5"/>
    </row>
    <row r="164" s="1" customFormat="1" spans="1:86">
      <c r="A164" s="4"/>
      <c r="B164" s="4"/>
      <c r="C164" s="24"/>
      <c r="D164" s="24"/>
      <c r="E164" s="24"/>
      <c r="F164" s="24"/>
      <c r="G164" s="24"/>
      <c r="H164" s="32"/>
      <c r="I164" s="32"/>
      <c r="J164" s="32"/>
      <c r="K164" s="24"/>
      <c r="L164" s="32"/>
      <c r="M164" s="32"/>
      <c r="N164" s="57"/>
      <c r="O164" s="34"/>
      <c r="P164" s="34"/>
      <c r="Q164" s="34"/>
      <c r="R164" s="34"/>
      <c r="S164" s="34"/>
      <c r="T164" s="34"/>
      <c r="U164" s="3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24"/>
      <c r="BE164" s="31"/>
      <c r="BF164" s="24"/>
      <c r="BG164" s="31"/>
      <c r="BH164" s="34"/>
      <c r="BI164" s="34"/>
      <c r="BJ164" s="34"/>
      <c r="BK164" s="34"/>
      <c r="BL164" s="34"/>
      <c r="BM164" s="34"/>
      <c r="BN164" s="163"/>
      <c r="BO164" s="34"/>
      <c r="BP164" s="24"/>
      <c r="BW164" s="8"/>
      <c r="BY164" s="5"/>
      <c r="CF164" s="8"/>
      <c r="CH164" s="5"/>
    </row>
    <row r="165" s="1" customFormat="1" spans="1:86">
      <c r="A165" s="4"/>
      <c r="B165" s="4"/>
      <c r="C165" s="24"/>
      <c r="D165" s="24"/>
      <c r="E165" s="24"/>
      <c r="F165" s="24"/>
      <c r="G165" s="24"/>
      <c r="H165" s="32"/>
      <c r="I165" s="32"/>
      <c r="J165" s="32"/>
      <c r="K165" s="24"/>
      <c r="L165" s="32"/>
      <c r="M165" s="32"/>
      <c r="N165" s="57"/>
      <c r="O165" s="34"/>
      <c r="P165" s="34"/>
      <c r="Q165" s="34"/>
      <c r="R165" s="34"/>
      <c r="S165" s="34"/>
      <c r="T165" s="34"/>
      <c r="U165" s="3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24"/>
      <c r="BE165" s="31"/>
      <c r="BF165" s="24"/>
      <c r="BG165" s="31"/>
      <c r="BH165" s="34"/>
      <c r="BI165" s="34"/>
      <c r="BJ165" s="34"/>
      <c r="BK165" s="34"/>
      <c r="BL165" s="34"/>
      <c r="BM165" s="34"/>
      <c r="BN165" s="163"/>
      <c r="BO165" s="34"/>
      <c r="BP165" s="24"/>
      <c r="BW165" s="8"/>
      <c r="BY165" s="5"/>
      <c r="CF165" s="8"/>
      <c r="CH165" s="5"/>
    </row>
    <row r="166" s="1" customFormat="1" spans="1:86">
      <c r="A166" s="4"/>
      <c r="B166" s="4"/>
      <c r="C166" s="24"/>
      <c r="D166" s="24"/>
      <c r="E166" s="24"/>
      <c r="F166" s="24"/>
      <c r="G166" s="24"/>
      <c r="H166" s="32"/>
      <c r="I166" s="32"/>
      <c r="J166" s="32"/>
      <c r="K166" s="24"/>
      <c r="L166" s="32"/>
      <c r="M166" s="32"/>
      <c r="N166" s="57"/>
      <c r="O166" s="34"/>
      <c r="P166" s="34"/>
      <c r="Q166" s="34"/>
      <c r="R166" s="34"/>
      <c r="S166" s="34"/>
      <c r="T166" s="34"/>
      <c r="U166" s="3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24"/>
      <c r="BE166" s="31"/>
      <c r="BF166" s="24"/>
      <c r="BG166" s="31"/>
      <c r="BH166" s="34"/>
      <c r="BI166" s="34"/>
      <c r="BJ166" s="34"/>
      <c r="BK166" s="34"/>
      <c r="BL166" s="34"/>
      <c r="BM166" s="34"/>
      <c r="BN166" s="163"/>
      <c r="BO166" s="34"/>
      <c r="BP166" s="24"/>
      <c r="BW166" s="8"/>
      <c r="BY166" s="5"/>
      <c r="CF166" s="8"/>
      <c r="CH166" s="5"/>
    </row>
  </sheetData>
  <mergeCells count="17">
    <mergeCell ref="P1:S1"/>
    <mergeCell ref="T1:W1"/>
    <mergeCell ref="X1:AA1"/>
    <mergeCell ref="P2:S2"/>
    <mergeCell ref="T2:W2"/>
    <mergeCell ref="X2:AA2"/>
    <mergeCell ref="N3:X3"/>
    <mergeCell ref="Y3:AI3"/>
    <mergeCell ref="AJ3:AS3"/>
    <mergeCell ref="AT3:BD3"/>
    <mergeCell ref="BE3:BG3"/>
    <mergeCell ref="BH3:BP3"/>
    <mergeCell ref="BQ3:BY3"/>
    <mergeCell ref="BZ3:CH3"/>
    <mergeCell ref="A1:M3"/>
    <mergeCell ref="AJ1:BD2"/>
    <mergeCell ref="BH1:CH2"/>
  </mergeCells>
  <conditionalFormatting sqref="AG4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{13032588-310d-47a4-9263-7aab93494c72}</x14:id>
        </ext>
      </extLst>
    </cfRule>
  </conditionalFormatting>
  <conditionalFormatting sqref="A5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{cc1cc0e5-f2c7-49f7-8d98-80d45d3ee084}</x14:id>
        </ext>
      </extLst>
    </cfRule>
    <cfRule type="dataBar" priority="13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{5a439156-5149-4eda-9db0-b9bb0219d383}</x14:id>
        </ext>
      </extLst>
    </cfRule>
  </conditionalFormatting>
  <conditionalFormatting sqref="B5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{ba1d3b79-1f40-4e90-ad09-7758502ed977}</x14:id>
        </ext>
      </extLst>
    </cfRule>
    <cfRule type="dataBar" priority="12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{089062e7-48ce-4b47-a4ad-b037a9f4c872}</x14:id>
        </ext>
      </extLst>
    </cfRule>
  </conditionalFormatting>
  <conditionalFormatting sqref="A6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{799436e7-28e8-4b3e-b38d-f104f70c0871}</x14:id>
        </ext>
      </extLst>
    </cfRule>
    <cfRule type="dataBar" priority="9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{921efa28-3a94-4e86-b44d-0e531c67f1ba}</x14:id>
        </ext>
      </extLst>
    </cfRule>
  </conditionalFormatting>
  <conditionalFormatting sqref="B6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{f00e62e7-4caa-4640-a415-b8f61eb9a705}</x14:id>
        </ext>
      </extLst>
    </cfRule>
    <cfRule type="dataBar" priority="3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{56eab885-8fe9-4fb4-8cab-13d9a168e298}</x14:id>
        </ext>
      </extLst>
    </cfRule>
  </conditionalFormatting>
  <conditionalFormatting sqref="A7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{93f7062b-4aaf-4fe8-964c-51e55f2560ef}</x14:id>
        </ext>
      </extLst>
    </cfRule>
    <cfRule type="dataBar" priority="8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{577de37d-9ce7-448e-9b8c-827c60c31468}</x14:id>
        </ext>
      </extLst>
    </cfRule>
  </conditionalFormatting>
  <conditionalFormatting sqref="B7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{e9a3adca-5c1d-4158-b5a1-bb4638d34500}</x14:id>
        </ext>
      </extLst>
    </cfRule>
    <cfRule type="dataBar" priority="2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{e0789613-fbe2-401b-aa46-e829c83d9ac6}</x14:id>
        </ext>
      </extLst>
    </cfRule>
  </conditionalFormatting>
  <conditionalFormatting sqref="A8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{fd4c59fc-e0fc-4be6-8681-5356417199fe}</x14:id>
        </ext>
      </extLst>
    </cfRule>
    <cfRule type="dataBar" priority="8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{51847181-f284-4f3f-960a-a241d4af7513}</x14:id>
        </ext>
      </extLst>
    </cfRule>
  </conditionalFormatting>
  <conditionalFormatting sqref="B8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{b8e76ac2-0a76-46c8-bf04-26eb45f8824d}</x14:id>
        </ext>
      </extLst>
    </cfRule>
    <cfRule type="dataBar" priority="2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{415dbfe9-9f35-4310-9ec6-793873de2f21}</x14:id>
        </ext>
      </extLst>
    </cfRule>
  </conditionalFormatting>
  <conditionalFormatting sqref="A9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{d65c9689-ead5-4d7a-b1b2-b9ce9c9cd569}</x14:id>
        </ext>
      </extLst>
    </cfRule>
    <cfRule type="dataBar" priority="8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{17c5a072-0bb1-4c6f-bd07-56bf30bd92f9}</x14:id>
        </ext>
      </extLst>
    </cfRule>
  </conditionalFormatting>
  <conditionalFormatting sqref="B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{04d88179-7464-4fd7-9156-ab5ea29c317f}</x14:id>
        </ext>
      </extLst>
    </cfRule>
    <cfRule type="dataBar" priority="2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{25c7d842-10d3-40fb-84ac-78dcd01e3d11}</x14:id>
        </ext>
      </extLst>
    </cfRule>
  </conditionalFormatting>
  <conditionalFormatting sqref="A10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{43b51fac-47ab-49cc-8a64-1efe32a1740f}</x14:id>
        </ext>
      </extLst>
    </cfRule>
    <cfRule type="dataBar" priority="8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{3615f771-6b26-41ac-90f9-a07d8884b3f8}</x14:id>
        </ext>
      </extLst>
    </cfRule>
  </conditionalFormatting>
  <conditionalFormatting sqref="B10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{fd884ac4-9e3b-4323-8bc3-38463b028b48}</x14:id>
        </ext>
      </extLst>
    </cfRule>
    <cfRule type="dataBar" priority="2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{f9a6485c-f5aa-4b1a-8826-5e09c9b8f0bf}</x14:id>
        </ext>
      </extLst>
    </cfRule>
  </conditionalFormatting>
  <conditionalFormatting sqref="A11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{7216914e-465c-4b95-9fe8-fe736ba49102}</x14:id>
        </ext>
      </extLst>
    </cfRule>
    <cfRule type="dataBar" priority="8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{f10373a7-73f3-498c-bf18-ab1a902a8f81}</x14:id>
        </ext>
      </extLst>
    </cfRule>
  </conditionalFormatting>
  <conditionalFormatting sqref="B11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{70607584-60e4-45f2-879d-75d000dcd7d8}</x14:id>
        </ext>
      </extLst>
    </cfRule>
    <cfRule type="dataBar" priority="2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{a9c46635-5473-47fc-ac39-4068abb1c5cf}</x14:id>
        </ext>
      </extLst>
    </cfRule>
  </conditionalFormatting>
  <conditionalFormatting sqref="A12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{60c2a0fa-61de-49cb-924b-cd41c87f920c}</x14:id>
        </ext>
      </extLst>
    </cfRule>
    <cfRule type="dataBar" priority="8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{65290221-6f39-4d48-aea3-2eeebab6b677}</x14:id>
        </ext>
      </extLst>
    </cfRule>
  </conditionalFormatting>
  <conditionalFormatting sqref="B1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{4c67cadf-f577-4b35-9ab2-c4265a4a6e4c}</x14:id>
        </ext>
      </extLst>
    </cfRule>
    <cfRule type="dataBar" priority="2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{207f01bf-02cd-4dc4-843d-f8dbb5920c82}</x14:id>
        </ext>
      </extLst>
    </cfRule>
  </conditionalFormatting>
  <conditionalFormatting sqref="A13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{9bcce820-2dcb-464f-8d31-95e6a87cd0da}</x14:id>
        </ext>
      </extLst>
    </cfRule>
    <cfRule type="dataBar" priority="8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{683e7042-bbb8-4562-9bbb-34d64be67a25}</x14:id>
        </ext>
      </extLst>
    </cfRule>
  </conditionalFormatting>
  <conditionalFormatting sqref="B1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{a3073745-6069-4ab8-99d7-744af3761ac9}</x14:id>
        </ext>
      </extLst>
    </cfRule>
    <cfRule type="dataBar" priority="2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{03b4e50a-aec7-4da2-b65e-005b245c04ce}</x14:id>
        </ext>
      </extLst>
    </cfRule>
  </conditionalFormatting>
  <conditionalFormatting sqref="A14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{c1c2d386-2a20-4451-ae50-6ebb7c2aaf73}</x14:id>
        </ext>
      </extLst>
    </cfRule>
    <cfRule type="dataBar" priority="8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{e45757db-6df6-4fca-a331-5b8f134f04ec}</x14:id>
        </ext>
      </extLst>
    </cfRule>
  </conditionalFormatting>
  <conditionalFormatting sqref="B1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{25bde3b4-5693-4311-b1da-e2a3bf6496e1}</x14:id>
        </ext>
      </extLst>
    </cfRule>
    <cfRule type="dataBar" priority="2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{bc3a1e8e-c448-4e07-8a36-057752c66ac2}</x14:id>
        </ext>
      </extLst>
    </cfRule>
  </conditionalFormatting>
  <conditionalFormatting sqref="A15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{660fbebf-124d-46f7-a582-e624da541cc3}</x14:id>
        </ext>
      </extLst>
    </cfRule>
    <cfRule type="dataBar" priority="8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{701b972e-ce00-4950-bc2b-1f5c11d1324e}</x14:id>
        </ext>
      </extLst>
    </cfRule>
  </conditionalFormatting>
  <conditionalFormatting sqref="B1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{be482a3a-e570-45f3-a1c5-636eaae88290}</x14:id>
        </ext>
      </extLst>
    </cfRule>
    <cfRule type="dataBar" priority="2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{5f89fd72-2570-4df0-a06b-99539f89a121}</x14:id>
        </ext>
      </extLst>
    </cfRule>
  </conditionalFormatting>
  <conditionalFormatting sqref="A1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{5fbdc63b-dc61-426a-ba3d-0b38b22c118c}</x14:id>
        </ext>
      </extLst>
    </cfRule>
    <cfRule type="dataBar" priority="8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{39d6796a-4189-46d4-a005-af0bf3d25b4e}</x14:id>
        </ext>
      </extLst>
    </cfRule>
  </conditionalFormatting>
  <conditionalFormatting sqref="B1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{f514e7d5-0017-4f81-b6d2-2571afa9c28f}</x14:id>
        </ext>
      </extLst>
    </cfRule>
    <cfRule type="dataBar" priority="2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{6a6aeb92-a3b0-4e67-afd7-cc651472f82c}</x14:id>
        </ext>
      </extLst>
    </cfRule>
  </conditionalFormatting>
  <conditionalFormatting sqref="A17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{6607a56b-ceb3-4382-9a0c-461381839272}</x14:id>
        </ext>
      </extLst>
    </cfRule>
    <cfRule type="dataBar" priority="7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{b410f480-6a2a-424d-a674-c4583002bc17}</x14:id>
        </ext>
      </extLst>
    </cfRule>
  </conditionalFormatting>
  <conditionalFormatting sqref="B17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{34ae12c8-233a-444b-b7d4-e3c8b5a66259}</x14:id>
        </ext>
      </extLst>
    </cfRule>
    <cfRule type="dataBar" priority="1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{4f1b3931-5331-4929-9f1a-9da96b04db43}</x14:id>
        </ext>
      </extLst>
    </cfRule>
  </conditionalFormatting>
  <conditionalFormatting sqref="A18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{3340db42-b71f-4279-81ff-c33c6dd4d107}</x14:id>
        </ext>
      </extLst>
    </cfRule>
    <cfRule type="dataBar" priority="7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{d1938a35-48f8-4a7c-920f-a377a91a24c6}</x14:id>
        </ext>
      </extLst>
    </cfRule>
  </conditionalFormatting>
  <conditionalFormatting sqref="B18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{943d8810-a459-43d6-b0c0-08343ae38e85}</x14:id>
        </ext>
      </extLst>
    </cfRule>
    <cfRule type="dataBar" priority="1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{10737e82-1810-4976-ace4-e466cea31def}</x14:id>
        </ext>
      </extLst>
    </cfRule>
  </conditionalFormatting>
  <conditionalFormatting sqref="A19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{870b3c79-9858-47ce-80ca-573523961bef}</x14:id>
        </ext>
      </extLst>
    </cfRule>
    <cfRule type="dataBar" priority="7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{87334466-7800-40fc-9c6e-04c4426e2e77}</x14:id>
        </ext>
      </extLst>
    </cfRule>
  </conditionalFormatting>
  <conditionalFormatting sqref="B19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{9a9dbd5e-1f74-49db-9dc8-50fc7e57f82d}</x14:id>
        </ext>
      </extLst>
    </cfRule>
    <cfRule type="dataBar" priority="1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{bbc286e8-979a-4246-9b4f-e341288c7e18}</x14:id>
        </ext>
      </extLst>
    </cfRule>
  </conditionalFormatting>
  <conditionalFormatting sqref="A20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{8be65772-0bef-4d0a-93fb-a4aad523785e}</x14:id>
        </ext>
      </extLst>
    </cfRule>
    <cfRule type="dataBar" priority="7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{b06a5c5d-1046-48c4-b10d-697ca1bd9316}</x14:id>
        </ext>
      </extLst>
    </cfRule>
  </conditionalFormatting>
  <conditionalFormatting sqref="B20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{5baf9ab2-d210-4589-aae4-fdf5ded420b1}</x14:id>
        </ext>
      </extLst>
    </cfRule>
    <cfRule type="dataBar" priority="1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{a587f69a-ca64-44c1-a33b-bf031a6f5ae6}</x14:id>
        </ext>
      </extLst>
    </cfRule>
  </conditionalFormatting>
  <conditionalFormatting sqref="A21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{cd3fdd83-ecc3-41a3-9005-46ea7d26310b}</x14:id>
        </ext>
      </extLst>
    </cfRule>
    <cfRule type="dataBar" priority="7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{ca83162f-315c-4d56-85b1-be210aea2e30}</x14:id>
        </ext>
      </extLst>
    </cfRule>
  </conditionalFormatting>
  <conditionalFormatting sqref="B21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{932d820b-a0ac-45b4-bd47-d7015a97db78}</x14:id>
        </ext>
      </extLst>
    </cfRule>
    <cfRule type="dataBar" priority="1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{6e348841-fa85-4fd9-a4ad-a9f2b9c4102a}</x14:id>
        </ext>
      </extLst>
    </cfRule>
  </conditionalFormatting>
  <conditionalFormatting sqref="A22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{71756964-c3ac-4c05-8ba1-1662fa23abd4}</x14:id>
        </ext>
      </extLst>
    </cfRule>
    <cfRule type="dataBar" priority="7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{0565359d-6068-49af-b3cc-de43efb0a2ec}</x14:id>
        </ext>
      </extLst>
    </cfRule>
  </conditionalFormatting>
  <conditionalFormatting sqref="B22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{b070c9ee-86a8-4c48-a04f-f9a568541495}</x14:id>
        </ext>
      </extLst>
    </cfRule>
    <cfRule type="dataBar" priority="1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{006569d6-2ca1-4dbe-bc71-d6b2b7be7ae6}</x14:id>
        </ext>
      </extLst>
    </cfRule>
  </conditionalFormatting>
  <conditionalFormatting sqref="A23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{cce5c1af-d9b9-4c7b-8621-a087e4ad06ab}</x14:id>
        </ext>
      </extLst>
    </cfRule>
    <cfRule type="dataBar" priority="7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{b124a6b0-d774-46b7-96cf-9ebb3e04b979}</x14:id>
        </ext>
      </extLst>
    </cfRule>
  </conditionalFormatting>
  <conditionalFormatting sqref="B23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{7340b92f-8a22-452b-bd81-a365fcc38ebf}</x14:id>
        </ext>
      </extLst>
    </cfRule>
    <cfRule type="dataBar" priority="1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{89c221c5-16bf-425c-b1bb-3983ab0bc278}</x14:id>
        </ext>
      </extLst>
    </cfRule>
  </conditionalFormatting>
  <conditionalFormatting sqref="A24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{b0093afe-7381-4c3d-9b81-f66a8144e802}</x14:id>
        </ext>
      </extLst>
    </cfRule>
    <cfRule type="dataBar" priority="7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{e1b58080-1de5-4ecc-bce5-9ee69836eec1}</x14:id>
        </ext>
      </extLst>
    </cfRule>
  </conditionalFormatting>
  <conditionalFormatting sqref="B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{b20274d7-d26e-462e-86c3-92d3313b1e7d}</x14:id>
        </ext>
      </extLst>
    </cfRule>
    <cfRule type="dataBar" priority="1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{91701b16-7520-474b-b1e9-1a9cd5d74dda}</x14:id>
        </ext>
      </extLst>
    </cfRule>
  </conditionalFormatting>
  <conditionalFormatting sqref="A25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{fcbca0f8-13e0-4f42-8b52-ddca94624875}</x14:id>
        </ext>
      </extLst>
    </cfRule>
    <cfRule type="dataBar" priority="7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{e0daef19-76b6-4368-8d19-a8021b3548c7}</x14:id>
        </ext>
      </extLst>
    </cfRule>
  </conditionalFormatting>
  <conditionalFormatting sqref="B2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{368a534b-9f5c-4df6-a6ce-69e989ee3093}</x14:id>
        </ext>
      </extLst>
    </cfRule>
    <cfRule type="dataBar" priority="1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{5f01fb71-2ebd-4e9b-80d9-5723d7c38754}</x14:id>
        </ext>
      </extLst>
    </cfRule>
  </conditionalFormatting>
  <conditionalFormatting sqref="A26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{8b4440b0-a20f-43b4-8f02-47bf867a3859}</x14:id>
        </ext>
      </extLst>
    </cfRule>
    <cfRule type="dataBar" priority="7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{bcd1ae48-ad76-4eb6-b411-ec92110b4dcb}</x14:id>
        </ext>
      </extLst>
    </cfRule>
  </conditionalFormatting>
  <conditionalFormatting sqref="B26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{a8d37296-ddac-4e89-ab05-9685d1ba0fa2}</x14:id>
        </ext>
      </extLst>
    </cfRule>
    <cfRule type="dataBar" priority="10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{a63d475a-9b28-4382-afab-6f2f8ea0d5ba}</x14:id>
        </ext>
      </extLst>
    </cfRule>
  </conditionalFormatting>
  <conditionalFormatting sqref="A27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{5c40e087-06e9-46f7-947b-50aa87915218}</x14:id>
        </ext>
      </extLst>
    </cfRule>
    <cfRule type="dataBar" priority="6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{eac9dc83-5ccc-4cdb-8805-92a35253c34d}</x14:id>
        </ext>
      </extLst>
    </cfRule>
  </conditionalFormatting>
  <conditionalFormatting sqref="B27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{f03ac50b-3f0a-4389-9993-139abf2097aa}</x14:id>
        </ext>
      </extLst>
    </cfRule>
    <cfRule type="dataBar" priority="9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{0090f24f-7445-4e0c-a6ed-8e5152b873ee}</x14:id>
        </ext>
      </extLst>
    </cfRule>
  </conditionalFormatting>
  <conditionalFormatting sqref="A28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{56b0ccc2-ec83-40c8-8566-7289a51833d5}</x14:id>
        </ext>
      </extLst>
    </cfRule>
    <cfRule type="dataBar" priority="6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{24630e67-7be3-4b9d-afbd-5bd70cb9b433}</x14:id>
        </ext>
      </extLst>
    </cfRule>
  </conditionalFormatting>
  <conditionalFormatting sqref="B2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{cfb90574-00ee-4398-b23f-2aa5e62b389e}</x14:id>
        </ext>
      </extLst>
    </cfRule>
    <cfRule type="dataBar" priority="8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{d4857932-a236-491e-be7b-3d8ab37e3e9c}</x14:id>
        </ext>
      </extLst>
    </cfRule>
  </conditionalFormatting>
  <conditionalFormatting sqref="A29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{60b6367e-2824-47a3-9ee7-be3c59189cbe}</x14:id>
        </ext>
      </extLst>
    </cfRule>
    <cfRule type="dataBar" priority="6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{9fb0699b-332f-4de0-bed6-0100cd159260}</x14:id>
        </ext>
      </extLst>
    </cfRule>
  </conditionalFormatting>
  <conditionalFormatting sqref="B29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{a8518f5c-4795-43fc-a938-d93af1698026}</x14:id>
        </ext>
      </extLst>
    </cfRule>
    <cfRule type="dataBar" priority="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{1e744fb2-56d9-4dcf-b9ed-9eb56e30273f}</x14:id>
        </ext>
      </extLst>
    </cfRule>
  </conditionalFormatting>
  <conditionalFormatting sqref="A30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{20ac80bb-8c74-433a-a181-38d43df4f5c5}</x14:id>
        </ext>
      </extLst>
    </cfRule>
    <cfRule type="dataBar" priority="6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{e3c386e0-4572-4fe2-8b6c-e544d95ce9f0}</x14:id>
        </ext>
      </extLst>
    </cfRule>
  </conditionalFormatting>
  <conditionalFormatting sqref="B30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{6e3bc7d1-7e24-4a4a-98b4-d6bb88b9ca9c}</x14:id>
        </ext>
      </extLst>
    </cfRule>
    <cfRule type="dataBar" priority="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{351e9964-107a-4973-a43a-d5044a457d48}</x14:id>
        </ext>
      </extLst>
    </cfRule>
  </conditionalFormatting>
  <conditionalFormatting sqref="A31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{57d8d810-dd27-4719-84e6-ff1ada6d3144}</x14:id>
        </ext>
      </extLst>
    </cfRule>
    <cfRule type="dataBar" priority="6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{407f9982-577d-4025-bf3c-aaf4788c916a}</x14:id>
        </ext>
      </extLst>
    </cfRule>
  </conditionalFormatting>
  <conditionalFormatting sqref="B3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{544405d0-9952-431c-9946-2fcf980eeec7}</x14:id>
        </ext>
      </extLst>
    </cfRule>
    <cfRule type="dataBar" priority="5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{22e6023f-93d4-4762-838f-0862c9081c5d}</x14:id>
        </ext>
      </extLst>
    </cfRule>
  </conditionalFormatting>
  <conditionalFormatting sqref="A32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{bad19742-9ce0-4253-a40e-d7cdb99c2792}</x14:id>
        </ext>
      </extLst>
    </cfRule>
    <cfRule type="dataBar" priority="6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{4a7d3cf3-c7bc-4929-aa19-9c14ce84838d}</x14:id>
        </ext>
      </extLst>
    </cfRule>
  </conditionalFormatting>
  <conditionalFormatting sqref="B32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{7b743c14-0d28-48d8-af61-88bf44465117}</x14:id>
        </ext>
      </extLst>
    </cfRule>
    <cfRule type="dataBar" priority="4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{177ab915-b9b3-44e4-89b6-017b55fa711c}</x14:id>
        </ext>
      </extLst>
    </cfRule>
  </conditionalFormatting>
  <conditionalFormatting sqref="A33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{fb69e645-f072-4dcc-b827-9cd867c34299}</x14:id>
        </ext>
      </extLst>
    </cfRule>
    <cfRule type="dataBar" priority="6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{a9bab270-c21b-4ec3-aa25-50d995bf2969}</x14:id>
        </ext>
      </extLst>
    </cfRule>
  </conditionalFormatting>
  <conditionalFormatting sqref="B3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{34b0ac92-c57f-44a2-b3e4-5cd394ac139b}</x14:id>
        </ext>
      </extLst>
    </cfRule>
    <cfRule type="dataBar" priority="3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{b3dc3f52-6ace-4eab-b639-f6c9a4ad2b36}</x14:id>
        </ext>
      </extLst>
    </cfRule>
  </conditionalFormatting>
  <conditionalFormatting sqref="A34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{559fad5e-2ed9-48da-8023-200e7fa171ed}</x14:id>
        </ext>
      </extLst>
    </cfRule>
    <cfRule type="dataBar" priority="6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{ed4589b3-29b9-468e-8ce4-f61f1f202bcb}</x14:id>
        </ext>
      </extLst>
    </cfRule>
  </conditionalFormatting>
  <conditionalFormatting sqref="B3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{68fa0136-c975-479c-952e-c89c43b5749f}</x14:id>
        </ext>
      </extLst>
    </cfRule>
    <cfRule type="dataBar" priority="2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{1683d991-6325-4c81-afcd-ce38ffb40832}</x14:id>
        </ext>
      </extLst>
    </cfRule>
  </conditionalFormatting>
  <conditionalFormatting sqref="A35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{491fa237-acb2-4adc-bc23-e1461cf54423}</x14:id>
        </ext>
      </extLst>
    </cfRule>
    <cfRule type="dataBar" priority="6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{e6933c81-4834-484f-b136-2cab1fc2f9db}</x14:id>
        </ext>
      </extLst>
    </cfRule>
  </conditionalFormatting>
  <conditionalFormatting sqref="B3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{c3b1604a-3f10-4f63-be57-285b0abd6642}</x14:id>
        </ext>
      </extLst>
    </cfRule>
    <cfRule type="dataBar" priority="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{ba4e0ee3-e01d-4b54-92a2-7e3a76cf2c14}</x14:id>
        </ext>
      </extLst>
    </cfRule>
  </conditionalFormatting>
  <conditionalFormatting sqref="M36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{efc594d1-e797-4030-ac5a-1700a79f2337}</x14:id>
        </ext>
      </extLst>
    </cfRule>
  </conditionalFormatting>
  <conditionalFormatting sqref="D5:D10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{085dafdb-4c5f-404d-b01f-55a16e5e420e}</x14:id>
        </ext>
      </extLst>
    </cfRule>
  </conditionalFormatting>
  <conditionalFormatting sqref="R5:R35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{0e9bab81-feb8-4f1a-b4b3-cd64ade2447f}</x14:id>
        </ext>
      </extLst>
    </cfRule>
  </conditionalFormatting>
  <conditionalFormatting sqref="R11:R35">
    <cfRule type="dataBar" priority="1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{9077ae5a-2bcb-4004-908c-e100d1933f4e}</x14:id>
        </ext>
      </extLst>
    </cfRule>
  </conditionalFormatting>
  <conditionalFormatting sqref="AL5:AL35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{e19efe4e-2f59-4080-a759-802a7ea227c7}</x14:id>
        </ext>
      </extLst>
    </cfRule>
  </conditionalFormatting>
  <conditionalFormatting sqref="AM5:AM35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{8a1726e9-d7ac-4cb0-9e51-babba12fc846}</x14:id>
        </ext>
      </extLst>
    </cfRule>
  </conditionalFormatting>
  <conditionalFormatting sqref="AQ5:AQ35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{15334ae1-5e03-4d7a-a3cf-b5ddd4f29237}</x14:id>
        </ext>
      </extLst>
    </cfRule>
  </conditionalFormatting>
  <conditionalFormatting sqref="AV5:AV35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{e29f37f8-6ad5-4a70-b4a6-dc59233cd649}</x14:id>
        </ext>
      </extLst>
    </cfRule>
  </conditionalFormatting>
  <conditionalFormatting sqref="AW5:AW3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{755447cf-60ed-4669-b72b-ead07d2dbd35}</x14:id>
        </ext>
      </extLst>
    </cfRule>
  </conditionalFormatting>
  <conditionalFormatting sqref="BA5:BA35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{df3f26a9-275b-43ef-93c4-dbd183e2babe}</x14:id>
        </ext>
      </extLst>
    </cfRule>
  </conditionalFormatting>
  <conditionalFormatting sqref="BN5:BN35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{c7f0230e-9552-48d8-909d-3b339178d6fc}</x14:id>
        </ext>
      </extLst>
    </cfRule>
  </conditionalFormatting>
  <conditionalFormatting sqref="BW5:BW35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{fd9b20fe-0881-4548-9f17-71a664f3c58f}</x14:id>
        </ext>
      </extLst>
    </cfRule>
  </conditionalFormatting>
  <conditionalFormatting sqref="CF5:CF35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{32fff013-b2be-4b67-a49e-9a64c9787c17}</x14:id>
        </ext>
      </extLst>
    </cfRule>
  </conditionalFormatting>
  <conditionalFormatting sqref="R5:R35 V5:V35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{b3c84c88-bd2a-492b-9f2c-5697e9c89283}</x14:id>
        </ext>
      </extLst>
    </cfRule>
  </conditionalFormatting>
  <dataValidations count="2">
    <dataValidation type="list" allowBlank="1" showInputMessage="1" showErrorMessage="1" sqref="O1 Q1">
      <formula1>"2024,2025,2026"</formula1>
    </dataValidation>
    <dataValidation type="list" allowBlank="1" showInputMessage="1" showErrorMessage="1" error="请输入一个列表中的值" sqref="O2">
      <formula1>"1,2,3,4,5,6,7,8,9,10,11,12"</formula1>
    </dataValidation>
  </dataValidations>
  <pageMargins left="0.75" right="0.75" top="1" bottom="1" header="0.5" footer="0.5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032588-310d-47a4-9263-7aab93494c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AG4</xm:sqref>
        </x14:conditionalFormatting>
        <x14:conditionalFormatting xmlns:xm="http://schemas.microsoft.com/office/excel/2006/main">
          <x14:cfRule type="dataBar" id="{cc1cc0e5-f2c7-49f7-8d98-80d45d3ee0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439156-5149-4eda-9db0-b9bb0219d3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</xm:sqref>
        </x14:conditionalFormatting>
        <x14:conditionalFormatting xmlns:xm="http://schemas.microsoft.com/office/excel/2006/main">
          <x14:cfRule type="dataBar" id="{ba1d3b79-1f40-4e90-ad09-7758502ed9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9062e7-48ce-4b47-a4ad-b037a9f4c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</xm:sqref>
        </x14:conditionalFormatting>
        <x14:conditionalFormatting xmlns:xm="http://schemas.microsoft.com/office/excel/2006/main">
          <x14:cfRule type="dataBar" id="{799436e7-28e8-4b3e-b38d-f104f70c08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1efa28-3a94-4e86-b44d-0e531c67f1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A6</xm:sqref>
        </x14:conditionalFormatting>
        <x14:conditionalFormatting xmlns:xm="http://schemas.microsoft.com/office/excel/2006/main">
          <x14:cfRule type="dataBar" id="{f00e62e7-4caa-4640-a415-b8f61eb9a7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eab885-8fe9-4fb4-8cab-13d9a168e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93f7062b-4aaf-4fe8-964c-51e55f2560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7de37d-9ce7-448e-9b8c-827c60c314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A7</xm:sqref>
        </x14:conditionalFormatting>
        <x14:conditionalFormatting xmlns:xm="http://schemas.microsoft.com/office/excel/2006/main">
          <x14:cfRule type="dataBar" id="{e9a3adca-5c1d-4158-b5a1-bb4638d345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789613-fbe2-401b-aa46-e829c83d9a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</xm:sqref>
        </x14:conditionalFormatting>
        <x14:conditionalFormatting xmlns:xm="http://schemas.microsoft.com/office/excel/2006/main">
          <x14:cfRule type="dataBar" id="{fd4c59fc-e0fc-4be6-8681-535641719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847181-f284-4f3f-960a-a241d4af75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A8</xm:sqref>
        </x14:conditionalFormatting>
        <x14:conditionalFormatting xmlns:xm="http://schemas.microsoft.com/office/excel/2006/main">
          <x14:cfRule type="dataBar" id="{b8e76ac2-0a76-46c8-bf04-26eb45f88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5dbfe9-9f35-4310-9ec6-793873de2f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d65c9689-ead5-4d7a-b1b2-b9ce9c9cd5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c5a072-0bb1-4c6f-bd07-56bf30bd9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A9</xm:sqref>
        </x14:conditionalFormatting>
        <x14:conditionalFormatting xmlns:xm="http://schemas.microsoft.com/office/excel/2006/main">
          <x14:cfRule type="dataBar" id="{04d88179-7464-4fd7-9156-ab5ea29c31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c7d842-10d3-40fb-84ac-78dcd01e3d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</xm:sqref>
        </x14:conditionalFormatting>
        <x14:conditionalFormatting xmlns:xm="http://schemas.microsoft.com/office/excel/2006/main">
          <x14:cfRule type="dataBar" id="{43b51fac-47ab-49cc-8a64-1efe32a174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15f771-6b26-41ac-90f9-a07d8884b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A10</xm:sqref>
        </x14:conditionalFormatting>
        <x14:conditionalFormatting xmlns:xm="http://schemas.microsoft.com/office/excel/2006/main">
          <x14:cfRule type="dataBar" id="{fd884ac4-9e3b-4323-8bc3-38463b028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a6485c-f5aa-4b1a-8826-5e09c9b8f0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7216914e-465c-4b95-9fe8-fe736ba491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0373a7-73f3-498c-bf18-ab1a902a8f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A11</xm:sqref>
        </x14:conditionalFormatting>
        <x14:conditionalFormatting xmlns:xm="http://schemas.microsoft.com/office/excel/2006/main">
          <x14:cfRule type="dataBar" id="{70607584-60e4-45f2-879d-75d000dcd7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c46635-5473-47fc-ac39-4068abb1c5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</xm:sqref>
        </x14:conditionalFormatting>
        <x14:conditionalFormatting xmlns:xm="http://schemas.microsoft.com/office/excel/2006/main">
          <x14:cfRule type="dataBar" id="{60c2a0fa-61de-49cb-924b-cd41c87f92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290221-6f39-4d48-aea3-2eeebab6b6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A12</xm:sqref>
        </x14:conditionalFormatting>
        <x14:conditionalFormatting xmlns:xm="http://schemas.microsoft.com/office/excel/2006/main">
          <x14:cfRule type="dataBar" id="{4c67cadf-f577-4b35-9ab2-c4265a4a6e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7f01bf-02cd-4dc4-843d-f8dbb5920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</xm:sqref>
        </x14:conditionalFormatting>
        <x14:conditionalFormatting xmlns:xm="http://schemas.microsoft.com/office/excel/2006/main">
          <x14:cfRule type="dataBar" id="{9bcce820-2dcb-464f-8d31-95e6a87cd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3e7042-bbb8-4562-9bbb-34d64be67a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A13</xm:sqref>
        </x14:conditionalFormatting>
        <x14:conditionalFormatting xmlns:xm="http://schemas.microsoft.com/office/excel/2006/main">
          <x14:cfRule type="dataBar" id="{a3073745-6069-4ab8-99d7-744af3761a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4e50a-aec7-4da2-b65e-005b245c04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c1c2d386-2a20-4451-ae50-6ebb7c2aaf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5757db-6df6-4fca-a331-5b8f134f04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A14</xm:sqref>
        </x14:conditionalFormatting>
        <x14:conditionalFormatting xmlns:xm="http://schemas.microsoft.com/office/excel/2006/main">
          <x14:cfRule type="dataBar" id="{25bde3b4-5693-4311-b1da-e2a3bf6496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3a1e8e-c448-4e07-8a36-057752c66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</xm:sqref>
        </x14:conditionalFormatting>
        <x14:conditionalFormatting xmlns:xm="http://schemas.microsoft.com/office/excel/2006/main">
          <x14:cfRule type="dataBar" id="{660fbebf-124d-46f7-a582-e624da541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1b972e-ce00-4950-bc2b-1f5c11d132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A15</xm:sqref>
        </x14:conditionalFormatting>
        <x14:conditionalFormatting xmlns:xm="http://schemas.microsoft.com/office/excel/2006/main">
          <x14:cfRule type="dataBar" id="{be482a3a-e570-45f3-a1c5-636eaae882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89fd72-2570-4df0-a06b-99539f89a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</xm:sqref>
        </x14:conditionalFormatting>
        <x14:conditionalFormatting xmlns:xm="http://schemas.microsoft.com/office/excel/2006/main">
          <x14:cfRule type="dataBar" id="{5fbdc63b-dc61-426a-ba3d-0b38b22c11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d6796a-4189-46d4-a005-af0bf3d25b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A16</xm:sqref>
        </x14:conditionalFormatting>
        <x14:conditionalFormatting xmlns:xm="http://schemas.microsoft.com/office/excel/2006/main">
          <x14:cfRule type="dataBar" id="{f514e7d5-0017-4f81-b6d2-2571afa9c2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6aeb92-a3b0-4e67-afd7-cc651472f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</xm:sqref>
        </x14:conditionalFormatting>
        <x14:conditionalFormatting xmlns:xm="http://schemas.microsoft.com/office/excel/2006/main">
          <x14:cfRule type="dataBar" id="{6607a56b-ceb3-4382-9a0c-461381839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10f480-6a2a-424d-a674-c4583002bc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A17</xm:sqref>
        </x14:conditionalFormatting>
        <x14:conditionalFormatting xmlns:xm="http://schemas.microsoft.com/office/excel/2006/main">
          <x14:cfRule type="dataBar" id="{34ae12c8-233a-444b-b7d4-e3c8b5a662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1b3931-5331-4929-9f1a-9da96b04db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3340db42-b71f-4279-81ff-c33c6dd4d1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938a35-48f8-4a7c-920f-a377a91a24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A18</xm:sqref>
        </x14:conditionalFormatting>
        <x14:conditionalFormatting xmlns:xm="http://schemas.microsoft.com/office/excel/2006/main">
          <x14:cfRule type="dataBar" id="{943d8810-a459-43d6-b0c0-08343ae38e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737e82-1810-4976-ace4-e466cea31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type="dataBar" id="{870b3c79-9858-47ce-80ca-573523961b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334466-7800-40fc-9c6e-04c4426e2e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A19</xm:sqref>
        </x14:conditionalFormatting>
        <x14:conditionalFormatting xmlns:xm="http://schemas.microsoft.com/office/excel/2006/main">
          <x14:cfRule type="dataBar" id="{9a9dbd5e-1f74-49db-9dc8-50fc7e57f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c286e8-979a-4246-9b4f-e341288c7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</xm:sqref>
        </x14:conditionalFormatting>
        <x14:conditionalFormatting xmlns:xm="http://schemas.microsoft.com/office/excel/2006/main">
          <x14:cfRule type="dataBar" id="{8be65772-0bef-4d0a-93fb-a4aad52378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6a5c5d-1046-48c4-b10d-697ca1bd93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</xm:sqref>
        </x14:conditionalFormatting>
        <x14:conditionalFormatting xmlns:xm="http://schemas.microsoft.com/office/excel/2006/main">
          <x14:cfRule type="dataBar" id="{5baf9ab2-d210-4589-aae4-fdf5ded42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87f69a-ca64-44c1-a33b-bf031a6f5a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</xm:sqref>
        </x14:conditionalFormatting>
        <x14:conditionalFormatting xmlns:xm="http://schemas.microsoft.com/office/excel/2006/main">
          <x14:cfRule type="dataBar" id="{cd3fdd83-ecc3-41a3-9005-46ea7d2631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83162f-315c-4d56-85b1-be210aea2e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A21</xm:sqref>
        </x14:conditionalFormatting>
        <x14:conditionalFormatting xmlns:xm="http://schemas.microsoft.com/office/excel/2006/main">
          <x14:cfRule type="dataBar" id="{932d820b-a0ac-45b4-bd47-d7015a97db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348841-fa85-4fd9-a4ad-a9f2b9c410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</xm:sqref>
        </x14:conditionalFormatting>
        <x14:conditionalFormatting xmlns:xm="http://schemas.microsoft.com/office/excel/2006/main">
          <x14:cfRule type="dataBar" id="{71756964-c3ac-4c05-8ba1-1662fa23ab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65359d-6068-49af-b3cc-de43efb0a2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A22</xm:sqref>
        </x14:conditionalFormatting>
        <x14:conditionalFormatting xmlns:xm="http://schemas.microsoft.com/office/excel/2006/main">
          <x14:cfRule type="dataBar" id="{b070c9ee-86a8-4c48-a04f-f9a5685414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6569d6-2ca1-4dbe-bc71-d6b2b7be7a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</xm:sqref>
        </x14:conditionalFormatting>
        <x14:conditionalFormatting xmlns:xm="http://schemas.microsoft.com/office/excel/2006/main">
          <x14:cfRule type="dataBar" id="{cce5c1af-d9b9-4c7b-8621-a087e4ad0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24a6b0-d774-46b7-96cf-9ebb3e04b9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A23</xm:sqref>
        </x14:conditionalFormatting>
        <x14:conditionalFormatting xmlns:xm="http://schemas.microsoft.com/office/excel/2006/main">
          <x14:cfRule type="dataBar" id="{7340b92f-8a22-452b-bd81-a365fcc38e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c221c5-16bf-425c-b1bb-3983ab0b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</xm:sqref>
        </x14:conditionalFormatting>
        <x14:conditionalFormatting xmlns:xm="http://schemas.microsoft.com/office/excel/2006/main">
          <x14:cfRule type="dataBar" id="{b0093afe-7381-4c3d-9b81-f66a8144e8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b58080-1de5-4ecc-bce5-9ee69836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A24</xm:sqref>
        </x14:conditionalFormatting>
        <x14:conditionalFormatting xmlns:xm="http://schemas.microsoft.com/office/excel/2006/main">
          <x14:cfRule type="dataBar" id="{b20274d7-d26e-462e-86c3-92d3313b1e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701b16-7520-474b-b1e9-1a9cd5d74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</xm:sqref>
        </x14:conditionalFormatting>
        <x14:conditionalFormatting xmlns:xm="http://schemas.microsoft.com/office/excel/2006/main">
          <x14:cfRule type="dataBar" id="{fcbca0f8-13e0-4f42-8b52-ddca94624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daef19-76b6-4368-8d19-a8021b3548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A25</xm:sqref>
        </x14:conditionalFormatting>
        <x14:conditionalFormatting xmlns:xm="http://schemas.microsoft.com/office/excel/2006/main">
          <x14:cfRule type="dataBar" id="{368a534b-9f5c-4df6-a6ce-69e989ee3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01fb71-2ebd-4e9b-80d9-5723d7c38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</xm:sqref>
        </x14:conditionalFormatting>
        <x14:conditionalFormatting xmlns:xm="http://schemas.microsoft.com/office/excel/2006/main">
          <x14:cfRule type="dataBar" id="{8b4440b0-a20f-43b4-8f02-47bf867a38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d1ae48-ad76-4eb6-b411-ec92110b4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A26</xm:sqref>
        </x14:conditionalFormatting>
        <x14:conditionalFormatting xmlns:xm="http://schemas.microsoft.com/office/excel/2006/main">
          <x14:cfRule type="dataBar" id="{a8d37296-ddac-4e89-ab05-9685d1ba0f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3d475a-9b28-4382-afab-6f2f8ea0d5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</xm:sqref>
        </x14:conditionalFormatting>
        <x14:conditionalFormatting xmlns:xm="http://schemas.microsoft.com/office/excel/2006/main">
          <x14:cfRule type="dataBar" id="{5c40e087-06e9-46f7-947b-50aa879152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c9dc83-5ccc-4cdb-8805-92a35253c3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A27</xm:sqref>
        </x14:conditionalFormatting>
        <x14:conditionalFormatting xmlns:xm="http://schemas.microsoft.com/office/excel/2006/main">
          <x14:cfRule type="dataBar" id="{f03ac50b-3f0a-4389-9993-139abf2097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90f24f-7445-4e0c-a6ed-8e5152b873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</xm:sqref>
        </x14:conditionalFormatting>
        <x14:conditionalFormatting xmlns:xm="http://schemas.microsoft.com/office/excel/2006/main">
          <x14:cfRule type="dataBar" id="{56b0ccc2-ec83-40c8-8566-7289a51833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630e67-7be3-4b9d-afbd-5bd70cb9b4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A28</xm:sqref>
        </x14:conditionalFormatting>
        <x14:conditionalFormatting xmlns:xm="http://schemas.microsoft.com/office/excel/2006/main">
          <x14:cfRule type="dataBar" id="{cfb90574-00ee-4398-b23f-2aa5e62b38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857932-a236-491e-be7b-3d8ab37e3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</xm:sqref>
        </x14:conditionalFormatting>
        <x14:conditionalFormatting xmlns:xm="http://schemas.microsoft.com/office/excel/2006/main">
          <x14:cfRule type="dataBar" id="{60b6367e-2824-47a3-9ee7-be3c59189c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b0699b-332f-4de0-bed6-0100cd1592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A29</xm:sqref>
        </x14:conditionalFormatting>
        <x14:conditionalFormatting xmlns:xm="http://schemas.microsoft.com/office/excel/2006/main">
          <x14:cfRule type="dataBar" id="{a8518f5c-4795-43fc-a938-d93af1698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744fb2-56d9-4dcf-b9ed-9eb56e3027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</xm:sqref>
        </x14:conditionalFormatting>
        <x14:conditionalFormatting xmlns:xm="http://schemas.microsoft.com/office/excel/2006/main">
          <x14:cfRule type="dataBar" id="{20ac80bb-8c74-433a-a181-38d43df4f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c386e0-4572-4fe2-8b6c-e544d95ce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A30</xm:sqref>
        </x14:conditionalFormatting>
        <x14:conditionalFormatting xmlns:xm="http://schemas.microsoft.com/office/excel/2006/main">
          <x14:cfRule type="dataBar" id="{6e3bc7d1-7e24-4a4a-98b4-d6bb88b9ca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1e9964-107a-4973-a43a-d5044a457d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</xm:sqref>
        </x14:conditionalFormatting>
        <x14:conditionalFormatting xmlns:xm="http://schemas.microsoft.com/office/excel/2006/main">
          <x14:cfRule type="dataBar" id="{57d8d810-dd27-4719-84e6-ff1ada6d3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7f9982-577d-4025-bf3c-aaf4788c91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A31</xm:sqref>
        </x14:conditionalFormatting>
        <x14:conditionalFormatting xmlns:xm="http://schemas.microsoft.com/office/excel/2006/main">
          <x14:cfRule type="dataBar" id="{544405d0-9952-431c-9946-2fcf980eee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e6023f-93d4-4762-838f-0862c9081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B31</xm:sqref>
        </x14:conditionalFormatting>
        <x14:conditionalFormatting xmlns:xm="http://schemas.microsoft.com/office/excel/2006/main">
          <x14:cfRule type="dataBar" id="{bad19742-9ce0-4253-a40e-d7cdb99c27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7d3cf3-c7bc-4929-aa19-9c14ce848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A32</xm:sqref>
        </x14:conditionalFormatting>
        <x14:conditionalFormatting xmlns:xm="http://schemas.microsoft.com/office/excel/2006/main">
          <x14:cfRule type="dataBar" id="{7b743c14-0d28-48d8-af61-88bf44465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7ab915-b9b3-44e4-89b6-017b55fa71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</xm:sqref>
        </x14:conditionalFormatting>
        <x14:conditionalFormatting xmlns:xm="http://schemas.microsoft.com/office/excel/2006/main">
          <x14:cfRule type="dataBar" id="{fb69e645-f072-4dcc-b827-9cd867c34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bab270-c21b-4ec3-aa25-50d995bf29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A33</xm:sqref>
        </x14:conditionalFormatting>
        <x14:conditionalFormatting xmlns:xm="http://schemas.microsoft.com/office/excel/2006/main">
          <x14:cfRule type="dataBar" id="{34b0ac92-c57f-44a2-b3e4-5cd394ac13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dc3f52-6ace-4eab-b639-f6c9a4ad2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B33</xm:sqref>
        </x14:conditionalFormatting>
        <x14:conditionalFormatting xmlns:xm="http://schemas.microsoft.com/office/excel/2006/main">
          <x14:cfRule type="dataBar" id="{559fad5e-2ed9-48da-8023-200e7fa171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4589b3-29b9-468e-8ce4-f61f1f202b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A34</xm:sqref>
        </x14:conditionalFormatting>
        <x14:conditionalFormatting xmlns:xm="http://schemas.microsoft.com/office/excel/2006/main">
          <x14:cfRule type="dataBar" id="{68fa0136-c975-479c-952e-c89c43b574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83d991-6325-4c81-afcd-ce38ffb408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B34</xm:sqref>
        </x14:conditionalFormatting>
        <x14:conditionalFormatting xmlns:xm="http://schemas.microsoft.com/office/excel/2006/main">
          <x14:cfRule type="dataBar" id="{491fa237-acb2-4adc-bc23-e1461cf54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933c81-4834-484f-b136-2cab1fc2f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A35</xm:sqref>
        </x14:conditionalFormatting>
        <x14:conditionalFormatting xmlns:xm="http://schemas.microsoft.com/office/excel/2006/main">
          <x14:cfRule type="dataBar" id="{c3b1604a-3f10-4f63-be57-285b0abd6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4e0ee3-e01d-4b54-92a2-7e3a76cf2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B35</xm:sqref>
        </x14:conditionalFormatting>
        <x14:conditionalFormatting xmlns:xm="http://schemas.microsoft.com/office/excel/2006/main">
          <x14:cfRule type="dataBar" id="{efc594d1-e797-4030-ac5a-1700a79f23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085dafdb-4c5f-404d-b01f-55a16e5e42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D5:D10</xm:sqref>
        </x14:conditionalFormatting>
        <x14:conditionalFormatting xmlns:xm="http://schemas.microsoft.com/office/excel/2006/main">
          <x14:cfRule type="dataBar" id="{0e9bab81-feb8-4f1a-b4b3-cd64ade244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R5:R35</xm:sqref>
        </x14:conditionalFormatting>
        <x14:conditionalFormatting xmlns:xm="http://schemas.microsoft.com/office/excel/2006/main">
          <x14:cfRule type="dataBar" id="{9077ae5a-2bcb-4004-908c-e100d1933f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R11:R35</xm:sqref>
        </x14:conditionalFormatting>
        <x14:conditionalFormatting xmlns:xm="http://schemas.microsoft.com/office/excel/2006/main">
          <x14:cfRule type="dataBar" id="{e19efe4e-2f59-4080-a759-802a7ea227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AL5:AL35</xm:sqref>
        </x14:conditionalFormatting>
        <x14:conditionalFormatting xmlns:xm="http://schemas.microsoft.com/office/excel/2006/main">
          <x14:cfRule type="dataBar" id="{8a1726e9-d7ac-4cb0-9e51-babba12fc8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AM5:AM35</xm:sqref>
        </x14:conditionalFormatting>
        <x14:conditionalFormatting xmlns:xm="http://schemas.microsoft.com/office/excel/2006/main">
          <x14:cfRule type="dataBar" id="{15334ae1-5e03-4d7a-a3cf-b5ddd4f292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AQ5:AQ35</xm:sqref>
        </x14:conditionalFormatting>
        <x14:conditionalFormatting xmlns:xm="http://schemas.microsoft.com/office/excel/2006/main">
          <x14:cfRule type="dataBar" id="{e29f37f8-6ad5-4a70-b4a6-dc59233cd6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AV5:AV35</xm:sqref>
        </x14:conditionalFormatting>
        <x14:conditionalFormatting xmlns:xm="http://schemas.microsoft.com/office/excel/2006/main">
          <x14:cfRule type="dataBar" id="{755447cf-60ed-4669-b72b-ead07d2dbd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AW5:AW35</xm:sqref>
        </x14:conditionalFormatting>
        <x14:conditionalFormatting xmlns:xm="http://schemas.microsoft.com/office/excel/2006/main">
          <x14:cfRule type="dataBar" id="{df3f26a9-275b-43ef-93c4-dbd183e2b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BA5:BA35</xm:sqref>
        </x14:conditionalFormatting>
        <x14:conditionalFormatting xmlns:xm="http://schemas.microsoft.com/office/excel/2006/main">
          <x14:cfRule type="dataBar" id="{c7f0230e-9552-48d8-909d-3b339178d6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BN5:BN35</xm:sqref>
        </x14:conditionalFormatting>
        <x14:conditionalFormatting xmlns:xm="http://schemas.microsoft.com/office/excel/2006/main">
          <x14:cfRule type="dataBar" id="{fd9b20fe-0881-4548-9f17-71a664f3c5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BW5:BW35</xm:sqref>
        </x14:conditionalFormatting>
        <x14:conditionalFormatting xmlns:xm="http://schemas.microsoft.com/office/excel/2006/main">
          <x14:cfRule type="dataBar" id="{32fff013-b2be-4b67-a49e-9a64c9787c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CF5:CF35</xm:sqref>
        </x14:conditionalFormatting>
        <x14:conditionalFormatting xmlns:xm="http://schemas.microsoft.com/office/excel/2006/main">
          <x14:cfRule type="dataBar" id="{b3c84c88-bd2a-492b-9f2c-5697e9c892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R5:R35 V5:V35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详情</vt:lpstr>
      <vt:lpstr>业务报告</vt:lpstr>
      <vt:lpstr>WT报告</vt:lpstr>
      <vt:lpstr>SP</vt:lpstr>
      <vt:lpstr>SD</vt:lpstr>
      <vt:lpstr>SB</vt:lpstr>
      <vt:lpstr>Base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安子</cp:lastModifiedBy>
  <dcterms:created xsi:type="dcterms:W3CDTF">2025-09-09T23:39:00Z</dcterms:created>
  <dcterms:modified xsi:type="dcterms:W3CDTF">2025-09-10T08:04:02Z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5FC2D34C721EE294454AC06829FE5B46_42</vt:lpwstr>
  </property>
  <property fmtid="{D5CDD505-2E9C-101B-9397-08002B2CF9AE}" pid="3" name="KSOProductBuildVer">
    <vt:lpwstr>2052-12.1.22553.22553</vt:lpwstr>
  </property>
</Properties>
</file>